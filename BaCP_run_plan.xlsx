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un Plan" sheetId="2" state="visible" r:id="rId4"/>
    <sheet name="Blockers" sheetId="3" state="visible" r:id="rId5"/>
    <sheet name="Scope" sheetId="4" state="visible" r:id="rId6"/>
    <sheet name="Reviewer 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<sst xmlns="http://schemas.openxmlformats.org/spreadsheetml/2006/main" count="973" uniqueCount="439">
  <si>
    <t xml:space="preserve">BaCP - NeurIPS workshop run plan: assumptions</t>
  </si>
  <si>
    <t xml:space="preserve">Every blue cell is an input you can change; the Run Plan recalculates from them.</t>
  </si>
  <si>
    <t xml:space="preserve">Source of all timing below</t>
  </si>
  <si>
    <t xml:space="preserve">docs/research_overview.md sec 4.3 (MEASURED, 4x RTX 5070 Ti, 8 slots)</t>
  </si>
  <si>
    <t xml:space="preserve">1 U = one 250-epoch full-length run (seconds)</t>
  </si>
  <si>
    <t xml:space="preserve">Aggregate throughput across 8 slots (U/hour)</t>
  </si>
  <si>
    <t xml:space="preserve">GPU cost ($/hour, Vast.ai)</t>
  </si>
  <si>
    <t xml:space="preserve">Stem-fix wall-clock multiplier (ESTIMATE - see note)</t>
  </si>
  <si>
    <t xml:space="preserve">sec 4.5: maxpool-&gt;Identity multiplies MACs by 3.98. Wall-clock will rise by less than that (dataloader + overhead). 2.5 is a placeholder - REPLACE with a measured s/epoch after the stem fix.</t>
  </si>
  <si>
    <t xml:space="preserve">Per-script cost correction (sec 4.3: the manifest's cost_u understates BaCP by 1.95x)</t>
  </si>
  <si>
    <t xml:space="preserve">script</t>
  </si>
  <si>
    <t xml:space="preserve">multiplier</t>
  </si>
  <si>
    <t xml:space="preserve">basis</t>
  </si>
  <si>
    <t xml:space="preserve">baseline</t>
  </si>
  <si>
    <t xml:space="preserve">A0 measured at 2050 s = definition of 1 U (script label is "baseline" in the manifest)</t>
  </si>
  <si>
    <t xml:space="preserve">pruning</t>
  </si>
  <si>
    <t xml:space="preserve">C0 measured at 1950 s</t>
  </si>
  <si>
    <t xml:space="preserve">bacp</t>
  </si>
  <si>
    <t xml:space="preserve">C-null measured at 4401 s vs cost_u=1.1 nominal</t>
  </si>
  <si>
    <t xml:space="preserve">Config cost factor (relative to resnet34/cifar10)</t>
  </si>
  <si>
    <t xml:space="preserve">resnet34/cifar10 = 1.0 | resnet34/cifar100 = 1.0 (same images) | resnet50/cifar10 = 1.4 (est, Bottleneck) | resnet34/svhn = 1.5 (73,257 vs 50,000 train images)</t>
  </si>
  <si>
    <t xml:space="preserve">WARNING</t>
  </si>
  <si>
    <t xml:space="preserve">All timings above predate the stem fix (sec 4.5) and were taken on 4x RTX 5070 Ti, not an A100. Re-measure s/epoch on one A0 cell before trusting any total.</t>
  </si>
  <si>
    <t xml:space="preserve">#</t>
  </si>
  <si>
    <t xml:space="preserve">Phase</t>
  </si>
  <si>
    <t xml:space="preserve">Rung</t>
  </si>
  <si>
    <t xml:space="preserve">What changes</t>
  </si>
  <si>
    <t xml:space="preserve">Question it answers</t>
  </si>
  <si>
    <t xml:space="preserve">Model</t>
  </si>
  <si>
    <t xml:space="preserve">Dataset</t>
  </si>
  <si>
    <t xml:space="preserve">Sparsity</t>
  </si>
  <si>
    <t xml:space="preserve">Seeds</t>
  </si>
  <si>
    <t xml:space="preserve">Script</t>
  </si>
  <si>
    <t xml:space="preserve">cost_u nom</t>
  </si>
  <si>
    <t xml:space="preserve">Script mult</t>
  </si>
  <si>
    <t xml:space="preserve">Cfg factor</t>
  </si>
  <si>
    <t xml:space="preserve">U / seed</t>
  </si>
  <si>
    <t xml:space="preserve">Total U</t>
  </si>
  <si>
    <t xml:space="preserve">Wall-hrs</t>
  </si>
  <si>
    <t xml:space="preserve">Depends on</t>
  </si>
  <si>
    <t xml:space="preserve">Gate</t>
  </si>
  <si>
    <t xml:space="preserve">Status</t>
  </si>
  <si>
    <t xml:space="preserve">Notes</t>
  </si>
  <si>
    <t xml:space="preserve">PHASE 0 - Unblock (Thu 20 - Fri 21 Aug). All 8 arms launch as ONE pool. Run is ~33 min; you get the answer in under 2 hours, not 3 days.</t>
  </si>
  <si>
    <t xml:space="preserve">PHASE 0</t>
  </si>
  <si>
    <t xml:space="preserve">N1</t>
  </si>
  <si>
    <t xml:space="preserve">C0 as-is, repeat</t>
  </si>
  <si>
    <t xml:space="preserve">reproduce the NaN on current code</t>
  </si>
  <si>
    <t xml:space="preserve">resnet34</t>
  </si>
  <si>
    <t xml:space="preserve">cifar10</t>
  </si>
  <si>
    <t xml:space="preserve">-</t>
  </si>
  <si>
    <t xml:space="preserve">TODO</t>
  </si>
  <si>
    <t xml:space="preserve">N2</t>
  </si>
  <si>
    <t xml:space="preserve">AMP off (enable_mixed_precision=False)</t>
  </si>
  <si>
    <t xml:space="preserve">is fp16 the cause</t>
  </si>
  <si>
    <t xml:space="preserve">trainer.py:44 - AMP is on by default and is not a protocol field</t>
  </si>
  <si>
    <t xml:space="preserve">N3</t>
  </si>
  <si>
    <t xml:space="preserve">grad clip 1.0 re-enabled</t>
  </si>
  <si>
    <t xml:space="preserve">is the unclipped step the cause</t>
  </si>
  <si>
    <t xml:space="preserve">training_utils.py:598 - the call is commented out</t>
  </si>
  <si>
    <t xml:space="preserve">N4</t>
  </si>
  <si>
    <t xml:space="preserve">pruner moved outside the GradScaler window</t>
  </si>
  <si>
    <t xml:space="preserve">is mutating weights between unscale_() and step() the cause</t>
  </si>
  <si>
    <t xml:space="preserve">training_utils.py:505,513-517 - MY PRIMARY SUSPECT</t>
  </si>
  <si>
    <t xml:space="preserve">N5</t>
  </si>
  <si>
    <t xml:space="preserve">lr 0.1 -&gt; 0.03</t>
  </si>
  <si>
    <t xml:space="preserve">is the LR the cause</t>
  </si>
  <si>
    <t xml:space="preserve">manifest.py:96, no warmup on the cosine branch</t>
  </si>
  <si>
    <t xml:space="preserve">N6</t>
  </si>
  <si>
    <t xml:space="preserve">5-epoch linear warmup</t>
  </si>
  <si>
    <t xml:space="preserve">is the absence of warmup the cause</t>
  </si>
  <si>
    <t xml:space="preserve">training_utils.py:343-350</t>
  </si>
  <si>
    <t xml:space="preserve">N7</t>
  </si>
  <si>
    <t xml:space="preserve">AMP off + grad clip 1.0</t>
  </si>
  <si>
    <t xml:space="preserve">belt and braces - does the pair fix it</t>
  </si>
  <si>
    <t xml:space="preserve">confirms if 2+3 interact</t>
  </si>
  <si>
    <t xml:space="preserve">N8</t>
  </si>
  <si>
    <t xml:space="preserve">sparsity 0.999 -&gt; 0.99</t>
  </si>
  <si>
    <t xml:space="preserve">is this a 0.999-only pathology</t>
  </si>
  <si>
    <t xml:space="preserve">also tells you whether to move the anchor</t>
  </si>
  <si>
    <t xml:space="preserve">PHASE 1 - Anchor spine (Sat 22 - Mon 24 Aug). Tier 1 exactly as manifest.py defines it. This is the paper.</t>
  </si>
  <si>
    <t xml:space="preserve">PHASE 1</t>
  </si>
  <si>
    <t xml:space="preserve">A0</t>
  </si>
  <si>
    <t xml:space="preserve">no pruning at all</t>
  </si>
  <si>
    <t xml:space="preserve">the dense reference</t>
  </si>
  <si>
    <t xml:space="preserve">5 seeds, zero NaN so far: 91.64 +- 0.30. VOID as a final number until the stem fix.</t>
  </si>
  <si>
    <t xml:space="preserve">A2</t>
  </si>
  <si>
    <t xml:space="preserve">uniform magnitude, head dense</t>
  </si>
  <si>
    <t xml:space="preserve">does excluding the classifier matter</t>
  </si>
  <si>
    <t xml:space="preserve">Magnitude has never run at 0.999 - sec 7.9.</t>
  </si>
  <si>
    <t xml:space="preserve">A3</t>
  </si>
  <si>
    <t xml:space="preserve">ERK layer-wise budget</t>
  </si>
  <si>
    <t xml:space="preserve">does ERK beat uniform</t>
  </si>
  <si>
    <t xml:space="preserve">Implements ER-on-unrolled, not Evci's ERK - flag F8, sec 8.3a. Re-word the citation or fix the mass.</t>
  </si>
  <si>
    <t xml:space="preserve">A4</t>
  </si>
  <si>
    <t xml:space="preserve">ERK + head dense</t>
  </si>
  <si>
    <t xml:space="preserve">closes the 2x2</t>
  </si>
  <si>
    <t xml:space="preserve">A5</t>
  </si>
  <si>
    <t xml:space="preserve">+ RigL drop-and-regrow</t>
  </si>
  <si>
    <t xml:space="preserve">does dynamic topology beat a static mask</t>
  </si>
  <si>
    <t xml:space="preserve">The ONLY pruner exercised at scale so far.</t>
  </si>
  <si>
    <t xml:space="preserve">C-null</t>
  </si>
  <si>
    <t xml:space="preserve">BaCP code path, everything BaCP-specific off</t>
  </si>
  <si>
    <t xml:space="preserve">is the BaCP code path neutral</t>
  </si>
  <si>
    <t xml:space="preserve">G1</t>
  </si>
  <si>
    <t xml:space="preserve">Cheapest, highest-information run in the plan. 5/5 seeds NaN on the last attempt.</t>
  </si>
  <si>
    <t xml:space="preserve">C0</t>
  </si>
  <si>
    <t xml:space="preserve">plain supervised training on the winning substrate</t>
  </si>
  <si>
    <t xml:space="preserve">THE reference every later rung is measured against</t>
  </si>
  <si>
    <t xml:space="preserve">The arm the AAAI paper had no analogue of.</t>
  </si>
  <si>
    <t xml:space="preserve">C0b</t>
  </si>
  <si>
    <t xml:space="preserve">two augmented views per step, objective unchanged</t>
  </si>
  <si>
    <t xml:space="preserve">is a gain contrast, or just more augmentation</t>
  </si>
  <si>
    <t xml:space="preserve">Not optional. Without it 'contrast helps' and 'two views help' are not separable.</t>
  </si>
  <si>
    <t xml:space="preserve">C1</t>
  </si>
  <si>
    <t xml:space="preserve">+ dense-teacher logit KD</t>
  </si>
  <si>
    <t xml:space="preserve">does A TEACHER help at all</t>
  </si>
  <si>
    <t xml:space="preserve">G3</t>
  </si>
  <si>
    <t xml:space="preserve">THE decider. If C1 ~= D2 the contrastive machinery is decoration.</t>
  </si>
  <si>
    <t xml:space="preserve">C2</t>
  </si>
  <si>
    <t xml:space="preserve">logit KD -&gt; feature matching</t>
  </si>
  <si>
    <t xml:space="preserve">does the LEVEL of injection matter</t>
  </si>
  <si>
    <t xml:space="preserve">C3</t>
  </si>
  <si>
    <t xml:space="preserve">feature regression -&gt; contrastive form (FiC)</t>
  </si>
  <si>
    <t xml:space="preserve">does the CONTRASTIVE FORM matter</t>
  </si>
  <si>
    <t xml:space="preserve">G4</t>
  </si>
  <si>
    <t xml:space="preserve">BROKEN AS SPECIFIED - supervised=True adds label positives AND the denominator. See Blockers B6.</t>
  </si>
  <si>
    <t xml:space="preserve">D1</t>
  </si>
  <si>
    <t xml:space="preserve">+ SnC snapshot teachers</t>
  </si>
  <si>
    <t xml:space="preserve">does SnC add anything on top of FiC</t>
  </si>
  <si>
    <t xml:space="preserve">G5</t>
  </si>
  <si>
    <t xml:space="preserve">D2</t>
  </si>
  <si>
    <t xml:space="preserve">+ PrC pretrained teacher = FULL BaCP</t>
  </si>
  <si>
    <t xml:space="preserve">does PrC add anything on top of FiC+SnC</t>
  </si>
  <si>
    <t xml:space="preserve">PrC's teacher is RANDOMLY INITIALISED on this box. See Blockers B2 - this changes what D2 means.</t>
  </si>
  <si>
    <t xml:space="preserve">PHASE 2 - Transfer panel (Mon 24 - Tue 25 Aug). Four rungs only, two seeds. This is how you get breadth back without re-running the ladder.</t>
  </si>
  <si>
    <t xml:space="preserve">PHASE 2</t>
  </si>
  <si>
    <t xml:space="preserve">dense reference for this cell</t>
  </si>
  <si>
    <t xml:space="preserve">anchor for the panel</t>
  </si>
  <si>
    <t xml:space="preserve">cifar100</t>
  </si>
  <si>
    <t xml:space="preserve">2nd dataset, free - same images, same loaders, transform path already works</t>
  </si>
  <si>
    <t xml:space="preserve">CE only</t>
  </si>
  <si>
    <t xml:space="preserve">the reference</t>
  </si>
  <si>
    <t xml:space="preserve">Transfer panel - report as n=2, no significance claim.</t>
  </si>
  <si>
    <t xml:space="preserve">does a teacher help here too</t>
  </si>
  <si>
    <t xml:space="preserve">contrastive form (FiC)</t>
  </si>
  <si>
    <t xml:space="preserve">does contrast beat KD here too</t>
  </si>
  <si>
    <t xml:space="preserve">full BaCP</t>
  </si>
  <si>
    <t xml:space="preserve">does the full method hold up</t>
  </si>
  <si>
    <t xml:space="preserve">resnet50</t>
  </si>
  <si>
    <t xml:space="preserve">2nd model - registered, CIFAR stem adaptation runs for model_family=='resnet'</t>
  </si>
  <si>
    <t xml:space="preserve">svhn</t>
  </si>
  <si>
    <t xml:space="preserve">3rd dataset - registered, 32x32, never run</t>
  </si>
  <si>
    <t xml:space="preserve">PHASE 3 - Only if Phases 0-2 are done by Tue 25 Aug. Otherwise cut without regret.</t>
  </si>
  <si>
    <t xml:space="preserve">PHASE 3</t>
  </si>
  <si>
    <t xml:space="preserve">D4-noSnC</t>
  </si>
  <si>
    <t xml:space="preserve">SnC removed, weights renormalised to 1/3</t>
  </si>
  <si>
    <t xml:space="preserve">is SnC necessary (backward)</t>
  </si>
  <si>
    <t xml:space="preserve">STRETCH</t>
  </si>
  <si>
    <t xml:space="preserve">Keep - has no forward twin, so the gap is informative.</t>
  </si>
  <si>
    <t xml:space="preserve">D4-noFiC</t>
  </si>
  <si>
    <t xml:space="preserve">FiC removed, weights renormalised to 1/3</t>
  </si>
  <si>
    <t xml:space="preserve">is FiC necessary (backward)</t>
  </si>
  <si>
    <t xml:space="preserve">Keep - has no forward twin.</t>
  </si>
  <si>
    <t xml:space="preserve">C0 @0.95</t>
  </si>
  <si>
    <t xml:space="preserve">same rung at a lower sparsity</t>
  </si>
  <si>
    <t xml:space="preserve">the accuracy-vs-sparsity trend all three reviewers asked for</t>
  </si>
  <si>
    <t xml:space="preserve">Phase 1</t>
  </si>
  <si>
    <t xml:space="preserve">HEADLINE_SPARSITIES is declared in manifest.py:69 and wired to nothing - needs a driver (sec 8.8).</t>
  </si>
  <si>
    <t xml:space="preserve">C1 @0.95</t>
  </si>
  <si>
    <t xml:space="preserve">C3 @0.95</t>
  </si>
  <si>
    <t xml:space="preserve">D2 @0.95</t>
  </si>
  <si>
    <t xml:space="preserve">C0 @0.99</t>
  </si>
  <si>
    <t xml:space="preserve">C1 @0.99</t>
  </si>
  <si>
    <t xml:space="preserve">C3 @0.99</t>
  </si>
  <si>
    <t xml:space="preserve">D2 @0.99</t>
  </si>
  <si>
    <t xml:space="preserve">CUT - decided, not forgotten. Zero seeds so these cost nothing. Each row says what claim you are giving up.</t>
  </si>
  <si>
    <t xml:space="preserve">CUT</t>
  </si>
  <si>
    <t xml:space="preserve">B1</t>
  </si>
  <si>
    <t xml:space="preserve">DyReLU</t>
  </si>
  <si>
    <t xml:space="preserve">Defect M5: 3.18M DyReLU params stay in the forward pass and OUTSIDE the sparsity denominator - 150x the surviving weights. Also a different paper.</t>
  </si>
  <si>
    <t xml:space="preserve">B2</t>
  </si>
  <si>
    <t xml:space="preserve">DyReLU phasing</t>
  </si>
  <si>
    <t xml:space="preserve">Same. Stage B is 'what substrate survives 99.9%', which is not this paper's question.</t>
  </si>
  <si>
    <t xml:space="preserve">B3</t>
  </si>
  <si>
    <t xml:space="preserve">weight sharing</t>
  </si>
  <si>
    <t xml:space="preserve">Same.</t>
  </si>
  <si>
    <t xml:space="preserve">D4-noPrC</t>
  </si>
  <si>
    <t xml:space="preserve">leave-one-out PrC</t>
  </si>
  <si>
    <t xml:space="preserve">Defect: D4-noPrC IS D1 (sec 8.8). The PrC row is zero by construction, not by measurement. Report the D1-D2 contrast in both columns.</t>
  </si>
  <si>
    <t xml:space="preserve">D4-noCE</t>
  </si>
  <si>
    <t xml:space="preserve">leave-one-out CE</t>
  </si>
  <si>
    <t xml:space="preserve">Low information: 'no CE' is not a competing explanation anyone will raise.</t>
  </si>
  <si>
    <t xml:space="preserve">ViT-Tiny / ViT-Small</t>
  </si>
  <si>
    <t xml:space="preserve">vit-tiny</t>
  </si>
  <si>
    <t xml:space="preserve">Requires image_size=224 (49x the pixels), hub download, never run under current code. Not in 9 days.</t>
  </si>
  <si>
    <t xml:space="preserve">VGG-11 / VGG-19</t>
  </si>
  <si>
    <t xml:space="preserve">vgg11</t>
  </si>
  <si>
    <t xml:space="preserve">Defects M2 + M6. Under M2 a '99% sparse VGG-11' leaves 119.5M dense params - 92.8% of the network. Your old VGG rows never tested what they claimed.</t>
  </si>
  <si>
    <t xml:space="preserve">WikiText-2 MLM</t>
  </si>
  <si>
    <t xml:space="preserve">roberta-base-mlm</t>
  </si>
  <si>
    <t xml:space="preserve">wikitext2</t>
  </si>
  <si>
    <t xml:space="preserve">Defect D1: load_mlm_dataloaders raises TypeError on seed=, then NameError. Unreachable today.</t>
  </si>
  <si>
    <t xml:space="preserve">SST-2 text cell</t>
  </si>
  <si>
    <t xml:space="preserve">distilbert</t>
  </si>
  <si>
    <t xml:space="preserve">sst2</t>
  </si>
  <si>
    <t xml:space="preserve">Reachable (GLUE cache present) but no protocol is defined and testloader IS valloader. Only if Phase 2 finishes early.</t>
  </si>
  <si>
    <t xml:space="preserve">ImageNet</t>
  </si>
  <si>
    <t xml:space="preserve">imagenet</t>
  </si>
  <si>
    <t xml:space="preserve">Defect D3: download=True raises on torchvision.datasets.ImageNet. Also not affordable. State as a limitation.</t>
  </si>
  <si>
    <t xml:space="preserve">TOTALS</t>
  </si>
  <si>
    <t xml:space="preserve">Phase 0 (unblock)</t>
  </si>
  <si>
    <t xml:space="preserve">Phase 1 (anchor spine)</t>
  </si>
  <si>
    <t xml:space="preserve">Phase 2 (transfer panel)</t>
  </si>
  <si>
    <t xml:space="preserve">Phase 3 (stretch)</t>
  </si>
  <si>
    <t xml:space="preserve">TOTAL (all phases)</t>
  </si>
  <si>
    <t xml:space="preserve">Estimated GPU cost ($)</t>
  </si>
  <si>
    <t xml:space="preserve">Wall-hrs assumes 8 concurrent slots (2 cells/GPU x 4 GPUs, sec 4.2). Divide differently if you move to a single A100.</t>
  </si>
  <si>
    <t xml:space="preserve">Compute was never your constraint. Debugging time is. Phase 0 exists to convert an open-ended debug into a 2-hour experiment.</t>
  </si>
  <si>
    <t xml:space="preserve">ID</t>
  </si>
  <si>
    <t xml:space="preserve">Defect</t>
  </si>
  <si>
    <t xml:space="preserve">Severity</t>
  </si>
  <si>
    <t xml:space="preserve">Why it blocks</t>
  </si>
  <si>
    <t xml:space="preserve">Fix</t>
  </si>
  <si>
    <t xml:space="preserve">Must land by</t>
  </si>
  <si>
    <t xml:space="preserve">Note</t>
  </si>
  <si>
    <t xml:space="preserve">B1 (sec 8.1)</t>
  </si>
  <si>
    <t xml:space="preserve">Sparse training diverges to NaN at 0.999. 5/5 C-null seeds, 2/3 C0 seeds, sitting at exactly 10.0969% (chance). Cause NOT established.</t>
  </si>
  <si>
    <t xml:space="preserve">BLOCKER</t>
  </si>
  <si>
    <t xml:space="preserve">Nothing can be measured until this is fixed. Every sparse number you have is a dead run.</t>
  </si>
  <si>
    <t xml:space="preserve">Phase 0: 8-arm pool, ~2 hours</t>
  </si>
  <si>
    <t xml:space="preserve">Thu 20 Aug</t>
  </si>
  <si>
    <t xml:space="preserve">OPEN</t>
  </si>
  <si>
    <t xml:space="preserve">Do not debug this by reading code. You have 8 slots and a 33-min run. Launch all 8 hypotheses at once.</t>
  </si>
  <si>
    <t xml:space="preserve">B2 - NEW FINDING</t>
  </si>
  <si>
    <t xml:space="preserve">PrC's teacher is a RANDOMLY INITIALISED network. Every local vision weight path points at /dbfs (model_factory.py MODELS table), which does not exist on the Vast.ai box, so load_weights fails soft and init_source='random' (sec 1.1). bacp.py:488 then contrasts the student against model_pt(data2).</t>
  </si>
  <si>
    <t xml:space="preserve">D2 (= full BaCP) is currently testing 'does aligning to a random network help', not 'does pretrained knowledge help'. The paper's stated rationale for PrC - task-agnostic knowledge from pretraining - is not what the code does. This is not in your 245KB audit: 'model_pt' appears nowhere in research_overview.md.</t>
  </si>
  <si>
    <t xml:space="preserve">Decide one of three: (a) load torchvision ImageNet weights for model_pt, (b) drop PrC and publish D1 as the endpoint, (c) keep it and reframe PrC honestly as a random-anchor regulariser</t>
  </si>
  <si>
    <t xml:space="preserve">(a) breaks the from-scratch comparability with RigL/GraNet that the anchor was chosen for. (b) is cleanest for 9 days. (c) is the most interesting paper but needs its own control.</t>
  </si>
  <si>
    <t xml:space="preserve">B3 (sec 8.7 D4)</t>
  </si>
  <si>
    <t xml:space="preserve">The contrastive path builds no validation split, so BaCP trains on 50,000 CIFAR-10 images while the CE baseline gets 40,000.</t>
  </si>
  <si>
    <t xml:space="preserve">A 25% training-data advantage sits on the headline comparison. C0 vs D2 is uninterpretable until this is fixed. Your doc marks it 'open, by design' - I disagree; 'we state it in the paper' does not survive review.</t>
  </si>
  <si>
    <t xml:space="preserve">Give the contrastive path the same 40k/10k split</t>
  </si>
  <si>
    <t xml:space="preserve">Fri 21 Aug</t>
  </si>
  <si>
    <t xml:space="preserve">Must land before Phase 1 launches, not after.</t>
  </si>
  <si>
    <t xml:space="preserve">B4 (sec 8.2)</t>
  </si>
  <si>
    <t xml:space="preserve">Gates G1/G3/G4/G5 are all difference-based with no collapse floor. Two arms both dead at 10.0969% give |0.00| &lt;= 0.5 and report PASS.</t>
  </si>
  <si>
    <t xml:space="preserve">The gate that exists to prove the BaCP code path is neutral cannot tell 'identical' from 'identically broken'. This is the state your first tier-1 attempt was actually in.</t>
  </si>
  <si>
    <t xml:space="preserve">~10 lines: require both arms &gt; 100/num_classes + k*sigma, plus a NaN-loss check off the record</t>
  </si>
  <si>
    <t xml:space="preserve">test_metrics_are_in_range already fails a NaN metric but only runs under pytest -m results, so it does not gate the sweep.</t>
  </si>
  <si>
    <t xml:space="preserve">B5 (sec 1.3.3 / M1)</t>
  </si>
  <si>
    <t xml:space="preserve">The CIFAR stem keeps its maxpool, so a 32x32 input reaches layer4 at 2x2. MACs are 3.98x too low. Final stage = 61.6% of the backbone, operating on four spatial positions.</t>
  </si>
  <si>
    <t xml:space="preserve">HIGH</t>
  </si>
  <si>
    <t xml:space="preserve">Invalidates A0 as a final number and every timing in sec 4.3-4.4. Fix decided, not applied.</t>
  </si>
  <si>
    <t xml:space="preserve">maxpool -&gt; Identity. Zero params and zero state_dict keys change, so all checkpoints stay loadable.</t>
  </si>
  <si>
    <t xml:space="preserve">Re-measure s/epoch immediately after and update Assumptions!B8, which is currently a guess.</t>
  </si>
  <si>
    <t xml:space="preserve">B6 (sec 8.3b)</t>
  </si>
  <si>
    <t xml:space="preserve">C3 does not isolate one thing. CAPContrastiveLoss is built with supervised=True AND unsupervised=True, so C3 adds the log-sum-exp denominator AND label-defined positives that C2 has no analogue of.</t>
  </si>
  <si>
    <t xml:space="preserve">This is the exact error the ladder exists to prevent, and it sits on gate G4 and on the paper's central claim.</t>
  </si>
  <si>
    <t xml:space="preserve">Run C3 with supervised=False, or insert a C3a rung between C2 and C3</t>
  </si>
  <si>
    <t xml:space="preserve">Cheapest fix is supervised=False - it keeps the rung count and makes C2-&gt;C3 genuinely one change (negatives).</t>
  </si>
  <si>
    <t xml:space="preserve">B7 (sec 8.8)</t>
  </si>
  <si>
    <t xml:space="preserve">D4-noPrC IS D1. They differ in exactly one key, experiment_type, which has no effect on training.</t>
  </si>
  <si>
    <t xml:space="preserve">The PrC row of the forward/backward table is zero by construction, not by measurement. Also 5 cells x 2.2 U of duplicated compute.</t>
  </si>
  <si>
    <t xml:space="preserve">Drop the arm; report the D1-D2 contrast in both columns</t>
  </si>
  <si>
    <t xml:space="preserve">CUT IN PLAN</t>
  </si>
  <si>
    <t xml:space="preserve">Already cut on the Run Plan tab.</t>
  </si>
  <si>
    <t xml:space="preserve">B8 (sec 8.5)</t>
  </si>
  <si>
    <t xml:space="preserve">No gradient clipping anywhere. clip_grad_norm_ appears once, commented out (training_utils.py:598). No max_grad_norm on any config or RunRecord.</t>
  </si>
  <si>
    <t xml:space="preserve">A contributing fact to B1, combined with lr 0.1, no warmup, fp16 AMP on by default, and a pruner mutating weights inside the GradScaler window.</t>
  </si>
  <si>
    <t xml:space="preserve">Arms N3 and N7 of the Phase 0 sweep test it</t>
  </si>
  <si>
    <t xml:space="preserve">Re-enabling it is a hypothesis to test, not a fix to announce.</t>
  </si>
  <si>
    <t xml:space="preserve">B9 (sec 8.4)</t>
  </si>
  <si>
    <t xml:space="preserve">resolve_checkpoint filters on status/model/dataset/method/seed only. No code_fingerprint check, no git_sha, no protocol fields. Falls back to seed=None automatically with only a printed warning.</t>
  </si>
  <si>
    <t xml:space="preserve">A sparse run will start from a dense checkpoint built by different source code, and every paired CI computed from that rung is overstated. Silent by construction.</t>
  </si>
  <si>
    <t xml:space="preserve">Compare code_fingerprint inside resolve_checkpoint; make the seed fallback opt-in</t>
  </si>
  <si>
    <t xml:space="preserve">Sat 22 Aug</t>
  </si>
  <si>
    <t xml:space="preserve">require_gate already does this exact check elsewhere in the same file - copy it.</t>
  </si>
  <si>
    <t xml:space="preserve">B10 (sec 8.8)</t>
  </si>
  <si>
    <t xml:space="preserve">Welch intervals use a hardcoded t=2.0 when scipy is absent. At df 4-8 the true values are 2.78 and 2.31.</t>
  </si>
  <si>
    <t xml:space="preserve">MEDIUM</t>
  </si>
  <si>
    <t xml:space="preserve">Unpaired Stage A intervals print up to ~28% too narrow with no warning. scipy is in requirements-dev.txt but not requirements.txt.</t>
  </si>
  <si>
    <t xml:space="preserve">pip install scipy on the run box</t>
  </si>
  <si>
    <t xml:space="preserve">One command. Do it in the same session as the stem fix.</t>
  </si>
  <si>
    <t xml:space="preserve">B11 (sec 3.4 / 8.8)</t>
  </si>
  <si>
    <t xml:space="preserve">HEADLINE_SPARSITIES is defined in manifest.py:69 and referenced nowhere. cells() accepts sparsity= but no caller passes it. TIERS[3] claims tier 3 includes the sweep; it does not.</t>
  </si>
  <si>
    <t xml:space="preserve">The accuracy-vs-sparsity trend that all three human reviewers asked for cannot currently be produced.</t>
  </si>
  <si>
    <t xml:space="preserve">Write the driver that passes sparsity= through pool.py</t>
  </si>
  <si>
    <t xml:space="preserve">Sun 24 Aug</t>
  </si>
  <si>
    <t xml:space="preserve">Phase 3 on the Run Plan depends on this.</t>
  </si>
  <si>
    <t xml:space="preserve">B12 (sec 8.8)</t>
  </si>
  <si>
    <t xml:space="preserve">The learnable-lambda arm is not constrained to the simplex. _initialize_lambdas unpacks the tuple with no projection or softmax; the four values are free nn.Parameters.</t>
  </si>
  <si>
    <t xml:space="preserve">Any claim that this arm optimises over the simplex is unsupported by the code. Your appendix Table 5 was going to make exactly that claim.</t>
  </si>
  <si>
    <t xml:space="preserve">Drop the dynamic-lambda claim from this paper, or add a softmax</t>
  </si>
  <si>
    <t xml:space="preserve">Mon 25 Aug</t>
  </si>
  <si>
    <t xml:space="preserve">Cheapest: drop it. Reviewers called the method too complex; a fifth knob does not help.</t>
  </si>
  <si>
    <t xml:space="preserve">B13 (sec 4.1)</t>
  </si>
  <si>
    <t xml:space="preserve">No TF32 policy is set anywhere and the NVIDIA driver version is not recorded.</t>
  </si>
  <si>
    <t xml:space="preserve">Blocks the reproducibility statement. Matmul/conv precision is inherited from whatever torch defaults to on Blackwell.</t>
  </si>
  <si>
    <t xml:space="preserve">set_float32_matmul_precision explicitly; add driver to results.py:205-212</t>
  </si>
  <si>
    <t xml:space="preserve">Wed 26 Aug</t>
  </si>
  <si>
    <t xml:space="preserve">Do it while writing, not before.</t>
  </si>
  <si>
    <t xml:space="preserve">B14 (sec 8.6 M2)</t>
  </si>
  <si>
    <t xml:space="preserve">_EXCLUDE_TASK_HEAD contains the bare substring 'classifier', so VGG's whole 119.5M MLP leaves the pruning denominator. A '99% sparse VGG-11' leaves 92.8% of the network dense.</t>
  </si>
  <si>
    <t xml:space="preserve">Explains why your AAAI VGG rows behaved oddly - they never pruned what the table said. Only matters if VGG comes back.</t>
  </si>
  <si>
    <t xml:space="preserve">Exact-match the final layer instead of substring</t>
  </si>
  <si>
    <t xml:space="preserve">Not this deadline</t>
  </si>
  <si>
    <t xml:space="preserve">Worth a line in the paper's limitations if you mention the old VGG results at all.</t>
  </si>
  <si>
    <t xml:space="preserve">B15 (sec 8.7 D1)</t>
  </si>
  <si>
    <t xml:space="preserve">load_mlm_dataloaders takes no seed parameter but load_text_dataloaders calls it with seed=seed -&gt; TypeError; the nested loader() closure then references a module global that does not exist -&gt; NameError.</t>
  </si>
  <si>
    <t xml:space="preserve">WikiText-2 is unreachable. The MLM half of your AAAI table had no runnable code path.</t>
  </si>
  <si>
    <t xml:space="preserve">~5 lines, but then you still need an MLM protocol</t>
  </si>
  <si>
    <t xml:space="preserve">Drop all LM claims from the workshop paper.</t>
  </si>
  <si>
    <t xml:space="preserve">Item</t>
  </si>
  <si>
    <t xml:space="preserve">Decision</t>
  </si>
  <si>
    <t xml:space="preserve">Why</t>
  </si>
  <si>
    <t xml:space="preserve">What it costs you</t>
  </si>
  <si>
    <t xml:space="preserve">Anchor model</t>
  </si>
  <si>
    <t xml:space="preserve">resnet34 ONLY at 5 seeds</t>
  </si>
  <si>
    <t xml:space="preserve">IN</t>
  </si>
  <si>
    <t xml:space="preserve">Deep on one cell beats one seed across twelve. A reviewer attacks the claim, not the breadth.</t>
  </si>
  <si>
    <t xml:space="preserve">2nd model</t>
  </si>
  <si>
    <t xml:space="preserve">resnet50, 4-rung panel, 2 seeds</t>
  </si>
  <si>
    <t xml:space="preserve">IN (Phase 2)</t>
  </si>
  <si>
    <t xml:space="preserve">Registered, same family, CIFAR stem path already runs for model_family=='resnet'. ~11 U.</t>
  </si>
  <si>
    <t xml:space="preserve">Answers 'only one architecture' without re-running the ladder.</t>
  </si>
  <si>
    <t xml:space="preserve">2nd/3rd dataset</t>
  </si>
  <si>
    <t xml:space="preserve">cifar100 + svhn, 4-rung panel, 2 seeds</t>
  </si>
  <si>
    <t xml:space="preserve">Both registered and 32x32. cifar100 is free - identical loaders. ~24 U combined.</t>
  </si>
  <si>
    <t xml:space="preserve">Answers 'only one dataset'.</t>
  </si>
  <si>
    <t xml:space="preserve">Sparsity trend</t>
  </si>
  <si>
    <t xml:space="preserve">0.95 / 0.99 on C0,C1,C3,D2</t>
  </si>
  <si>
    <t xml:space="preserve">STRETCH (Phase 3)</t>
  </si>
  <si>
    <t xml:space="preserve">All three human reviewers asked for trends across pruning rates. Needs the B11 driver first.</t>
  </si>
  <si>
    <t xml:space="preserve">This is the single highest-value stretch item.</t>
  </si>
  <si>
    <t xml:space="preserve">Anchor sparsity</t>
  </si>
  <si>
    <t xml:space="preserve">move from 0.999 to 0.99</t>
  </si>
  <si>
    <t xml:space="preserve">DECIDE FRI</t>
  </si>
  <si>
    <t xml:space="preserve">At 0.999 a ResNet-34 is ~21,265 weights. Comparable to CAP (97%), to your own prior table (99%), and to the literature only at 0.99.</t>
  </si>
  <si>
    <t xml:space="preserve">N8 of the Phase 0 sweep also tells you whether 0.999 is where the NaN lives.</t>
  </si>
  <si>
    <t xml:space="preserve">Stage B (DyReLU, phasing, weight sharing)</t>
  </si>
  <si>
    <t xml:space="preserve">OUT</t>
  </si>
  <si>
    <t xml:space="preserve">Defect M5 on B1, and it is a different paper: 'what substrate survives extreme sparsity' is not 'does contrast beat KD'.</t>
  </si>
  <si>
    <t xml:space="preserve">You lose the EAST-composition claim. It was unsupported anyway (sec 7.10: every pre-fix EAST number is void).</t>
  </si>
  <si>
    <t xml:space="preserve">ViTs</t>
  </si>
  <si>
    <t xml:space="preserve">image_size=224 is 49x the pixels, hub download, never run under current code.</t>
  </si>
  <si>
    <t xml:space="preserve">You lose 'model-agnostic across CNNs and ViTs'. It is already unsupported - sec 1.7.</t>
  </si>
  <si>
    <t xml:space="preserve">VGG</t>
  </si>
  <si>
    <t xml:space="preserve">Defects M2 + M6. The pruning denominator excludes 92.8% of VGG-11.</t>
  </si>
  <si>
    <t xml:space="preserve">You lose the architecture where BaCP LOST anyway (0/9 on VGG-11/CIFAR-100 in the old table).</t>
  </si>
  <si>
    <t xml:space="preserve">Language models</t>
  </si>
  <si>
    <t xml:space="preserve">WikiText-2 unreachable (D1). SST-2 reachable but has no protocol and testloader IS valloader.</t>
  </si>
  <si>
    <t xml:space="preserve">You lose the cross-modality claim. Say so in Limitations; CAP owns NLP and you can cite that.</t>
  </si>
  <si>
    <t xml:space="preserve">Defect D3, and not affordable regardless.</t>
  </si>
  <si>
    <t xml:space="preserve">Two reviewers asked for it. State it as a limitation with a number: one ResNet-50 cell is ~2.5 days on one card.</t>
  </si>
  <si>
    <t xml:space="preserve">Pruning-criterion-agnostic claim</t>
  </si>
  <si>
    <t xml:space="preserve">Only RigL has ever run at scale. Magnitude, SNIP, WANDA and EAST are untested at these sparsities (sec 7.9).</t>
  </si>
  <si>
    <t xml:space="preserve">This was one of your five claimed deltas over CAP. It cannot be re-established by the 29th.</t>
  </si>
  <si>
    <t xml:space="preserve">Dynamic / learnable lambdas</t>
  </si>
  <si>
    <t xml:space="preserve">Not constrained to the simplex (B12), so the claim is unsupported by the code.</t>
  </si>
  <si>
    <t xml:space="preserve">Reviewers said the method was too complex. Removing a knob is a feature.</t>
  </si>
  <si>
    <t xml:space="preserve">Framing</t>
  </si>
  <si>
    <t xml:space="preserve">Lead with the control, not the method</t>
  </si>
  <si>
    <t xml:space="preserve">'Does contrastive teacher alignment beat plain distillation at extreme sparsity? A controlled decomposition.' C1 is the contribution; D2 is the endpoint of the ladder, not the thesis.</t>
  </si>
  <si>
    <t xml:space="preserve">Survives a null result. 'BaCP beats I.P. by 2%' does not.</t>
  </si>
  <si>
    <t xml:space="preserve">Reviewer</t>
  </si>
  <si>
    <t xml:space="preserve">Complaint</t>
  </si>
  <si>
    <t xml:space="preserve">Where it is answered now</t>
  </si>
  <si>
    <t xml:space="preserve">ZzNq (3, conf 4)</t>
  </si>
  <si>
    <t xml:space="preserve">No ablations isolating each loss term</t>
  </si>
  <si>
    <t xml:space="preserve">Phase 1 C1/C2/C3/D1/D2 forward + Phase 3 D4 backward</t>
  </si>
  <si>
    <t xml:space="preserve">COVERED</t>
  </si>
  <si>
    <t xml:space="preserve">The ladder is a stronger answer than the leave-one-out table they asked for.</t>
  </si>
  <si>
    <t xml:space="preserve">ZzNq</t>
  </si>
  <si>
    <t xml:space="preserve">How many snapshots, how spaced, what if you vary the count</t>
  </si>
  <si>
    <t xml:space="preserve">num_snapshots=2 is fixed; no K sweep is scheduled</t>
  </si>
  <si>
    <t xml:space="preserve">NOT COVERED</t>
  </si>
  <si>
    <t xml:space="preserve">One sentence in the paper stating K=2 and why. A K sweep does not fit in 9 days.</t>
  </si>
  <si>
    <t xml:space="preserve">Extra cost per batch from multiple teachers - wall time</t>
  </si>
  <si>
    <t xml:space="preserve">sec 4.3 has it MEASURED: dense 8.2 s/ep, CE-only 7.8, BaCP 16.3. 1.95x correction.</t>
  </si>
  <si>
    <t xml:space="preserve">Re-measure after the stem fix, then this is a table you already own. Most papers cannot produce it.</t>
  </si>
  <si>
    <t xml:space="preserve">Results only at extreme rates; want trends across sparsity</t>
  </si>
  <si>
    <t xml:space="preserve">Phase 3 sparsity sweep</t>
  </si>
  <si>
    <t xml:space="preserve">AT RISK</t>
  </si>
  <si>
    <t xml:space="preserve">Depends on B11. If it slips, say explicitly that you report one sparsity and why.</t>
  </si>
  <si>
    <t xml:space="preserve">KQsH (5, conf 3)</t>
  </si>
  <si>
    <t xml:space="preserve">No ImageNet-scale study</t>
  </si>
  <si>
    <t xml:space="preserve">Cut</t>
  </si>
  <si>
    <t xml:space="preserve">NOT COVERED - BY DECISION</t>
  </si>
  <si>
    <t xml:space="preserve">State the limitation with the compute number attached. Workshop reviewers accept a scoped claim.</t>
  </si>
  <si>
    <t xml:space="preserve">KQsH</t>
  </si>
  <si>
    <t xml:space="preserve">GPU type, training/inference time not stated</t>
  </si>
  <si>
    <t xml:space="preserve">sec 4.1 + 4.3</t>
  </si>
  <si>
    <t xml:space="preserve">You will have a better hardware section than most accepted papers.</t>
  </si>
  <si>
    <t xml:space="preserve">How is text augmented for LMs</t>
  </si>
  <si>
    <t xml:space="preserve">Cut with the LM cells</t>
  </si>
  <si>
    <t xml:space="preserve">N/A</t>
  </si>
  <si>
    <t xml:space="preserve">But note sec 2.9's answer is good: in CAP the two views are the same tokens through two different models. Keep that framing if LMs ever return.</t>
  </si>
  <si>
    <t xml:space="preserve">Bold the row-wise best numbers</t>
  </si>
  <si>
    <t xml:space="preserve">ladder.aggregate() + the noise-floor bolding rule (sec 5.10)</t>
  </si>
  <si>
    <t xml:space="preserve">You have a principled bolding rule now, which is better than what they asked for.</t>
  </si>
  <si>
    <t xml:space="preserve">C5T6 (3, conf 4)</t>
  </si>
  <si>
    <t xml:space="preserve">Framework overly complex, ablations missing</t>
  </si>
  <si>
    <t xml:space="preserve">COVERED for ablations - BUT the scope grew</t>
  </si>
  <si>
    <t xml:space="preserve">Cutting Stage B and D4-noPrC/noCE is what actually answers 'too complex'.</t>
  </si>
  <si>
    <t xml:space="preserve">C5T6</t>
  </si>
  <si>
    <t xml:space="preserve">Method underperforms on VGG-11 and VGG-19</t>
  </si>
  <si>
    <t xml:space="preserve">VGG cut - and defect M2 means those rows never pruned what they claimed</t>
  </si>
  <si>
    <t xml:space="preserve">EXPLAINED, NOT FIXED</t>
  </si>
  <si>
    <t xml:space="preserve">Worth one honest sentence if you reference the old results at all.</t>
  </si>
  <si>
    <t xml:space="preserve">No results across random seeds</t>
  </si>
  <si>
    <t xml:space="preserve">Phase 1 at 5 seeds; Phase 2 at 2 seeds</t>
  </si>
  <si>
    <t xml:space="preserve">Report Phase 2 as n=2 with no significance claim. Do not let it look like the anchor.</t>
  </si>
  <si>
    <t xml:space="preserve">Effect of data augmentation; add augmentation to the baseline for fairness</t>
  </si>
  <si>
    <t xml:space="preserve">C0b is exactly this arm</t>
  </si>
  <si>
    <t xml:space="preserve">COVERED - AND IT IS THE BEST THING YOU HAVE</t>
  </si>
  <si>
    <t xml:space="preserve">C0b separates 'contrast helps' from 'two views help'. No prior BaCP-like paper runs it.</t>
  </si>
  <si>
    <t xml:space="preserve">Source code URL inaccessible</t>
  </si>
  <si>
    <t xml:space="preserve">Repo housekeeping</t>
  </si>
  <si>
    <t xml:space="preserve">Trivial and it cost you credibility with a reviewer. Fix it before submission.</t>
  </si>
  <si>
    <t xml:space="preserve">AI review</t>
  </si>
  <si>
    <t xml:space="preserve">Algorithm 1 inconsistencies, missing hyperparameters</t>
  </si>
  <si>
    <t xml:space="preserve">docs/research_overview.md sec 7 + the manifest as the single source of config</t>
  </si>
  <si>
    <t xml:space="preserve">Generate the hyperparameter table from cells() rather than typing it.</t>
  </si>
  <si>
    <t xml:space="preserve">Table anomalies - duplicated blocks, pruned exceeding dense</t>
  </si>
  <si>
    <t xml:space="preserve">All AAAI numbers are VOID (drop_last eval defect, EAST masks never updating)</t>
  </si>
  <si>
    <t xml:space="preserve">MOOT - AND SERIOUS</t>
  </si>
  <si>
    <t xml:space="preserve">You cannot resubmit that table. Verified independently: ViT-Tiny/C100 and ViT-Small/C10 are identical in 17 of 18 entries.</t>
  </si>
  <si>
    <t xml:space="preserve">Novelty vs CAP is thin - snapshot self-consistency is the only delta</t>
  </si>
  <si>
    <t xml:space="preserve">sec 6.7 already drafts the honest paragraph</t>
  </si>
  <si>
    <t xml:space="preserve">COVERED IF YOU SHIP IT</t>
  </si>
  <si>
    <t xml:space="preserve">Your sec 6.7 is better than most published related-work sections. Put it in the paper in the future tense it is already written in.</t>
  </si>
  <si>
    <t xml:space="preserve">Missing baselines: RigL, movement pruning, CAP</t>
  </si>
  <si>
    <t xml:space="preserve">RigL IS your substrate now (A5). CAP is the contrastive_mode. Movement pruning is out.</t>
  </si>
  <si>
    <t xml:space="preserve">PARTLY COVERED</t>
  </si>
  <si>
    <t xml:space="preserve">RigL-as-substrate is a stronger answer than RigL-as-baseline. Say that explicitly.</t>
  </si>
  <si>
    <t xml:space="preserve">No perplexity for MLM despite claiming it</t>
  </si>
  <si>
    <t xml:space="preserve">LM cells cut</t>
  </si>
  <si>
    <t xml:space="preserve">Also: RoBERTa/DistilBERT are encoder-only, not decoder-only as your appendix says. Fix if any LM text survives.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</si>
</sst>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E2F3"/>
      </patternFill>
    </fill>
    <fill>
      <patternFill patternType="solid">
        <fgColor rgb="FFFFD966"/>
        <bgColor rgb="FFFFEB9C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9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3" t="s">
        <v>3</v>
      </c>
    </row>
    <row r="5" customFormat="false" ht="15" hidden="false" customHeight="true" outlineLevel="0" collapsed="false">
      <c r="A5" s="4" t="s">
        <v>4</v>
      </c>
      <c r="B5" s="5" t="n">
        <v>2050</v>
      </c>
    </row>
    <row r="6" customFormat="false" ht="15" hidden="false" customHeight="true" outlineLevel="0" collapsed="false">
      <c r="A6" s="4" t="s">
        <v>5</v>
      </c>
      <c r="B6" s="5" t="n">
        <v>14</v>
      </c>
    </row>
    <row r="7" customFormat="false" ht="15" hidden="false" customHeight="true" outlineLevel="0" collapsed="false">
      <c r="A7" s="4" t="s">
        <v>6</v>
      </c>
      <c r="B7" s="5" t="n">
        <v>1.603</v>
      </c>
    </row>
    <row r="8" customFormat="false" ht="15" hidden="false" customHeight="true" outlineLevel="0" collapsed="false">
      <c r="A8" s="4" t="s">
        <v>7</v>
      </c>
      <c r="B8" s="5" t="n">
        <v>2.5</v>
      </c>
      <c r="C8" s="6" t="s">
        <v>8</v>
      </c>
    </row>
    <row r="10" customFormat="false" ht="15" hidden="false" customHeight="true" outlineLevel="0" collapsed="false">
      <c r="A10" s="7" t="s">
        <v>9</v>
      </c>
    </row>
    <row r="11" customFormat="false" ht="15" hidden="false" customHeight="true" outlineLevel="0" collapsed="false">
      <c r="A11" s="8" t="s">
        <v>10</v>
      </c>
      <c r="B11" s="8" t="s">
        <v>11</v>
      </c>
      <c r="C11" s="8" t="s">
        <v>12</v>
      </c>
    </row>
    <row r="12" customFormat="false" ht="15" hidden="false" customHeight="true" outlineLevel="0" collapsed="false">
      <c r="A12" s="4" t="s">
        <v>13</v>
      </c>
      <c r="B12" s="5" t="n">
        <v>1</v>
      </c>
      <c r="C12" s="9" t="s">
        <v>14</v>
      </c>
    </row>
    <row r="13" customFormat="false" ht="15" hidden="false" customHeight="true" outlineLevel="0" collapsed="false">
      <c r="A13" s="4" t="s">
        <v>15</v>
      </c>
      <c r="B13" s="5" t="n">
        <v>0.95</v>
      </c>
      <c r="C13" s="9" t="s">
        <v>16</v>
      </c>
    </row>
    <row r="14" customFormat="false" ht="15" hidden="false" customHeight="true" outlineLevel="0" collapsed="false">
      <c r="A14" s="4" t="s">
        <v>17</v>
      </c>
      <c r="B14" s="5" t="n">
        <v>1.95</v>
      </c>
      <c r="C14" s="9" t="s">
        <v>18</v>
      </c>
    </row>
    <row r="16" customFormat="false" ht="15" hidden="false" customHeight="true" outlineLevel="0" collapsed="false">
      <c r="A16" s="7" t="s">
        <v>19</v>
      </c>
    </row>
    <row r="17" customFormat="false" ht="15" hidden="false" customHeight="true" outlineLevel="0" collapsed="false">
      <c r="A17" s="3" t="s">
        <v>20</v>
      </c>
    </row>
    <row r="19" customFormat="false" ht="15" hidden="false" customHeight="true" outlineLevel="0" collapsed="false">
      <c r="A19" s="10" t="s">
        <v>21</v>
      </c>
    </row>
    <row r="20" customFormat="false" ht="15" hidden="false" customHeight="true" outlineLevel="0" collapsed="false">
      <c r="A20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7"/>
    <col collapsed="false" customWidth="true" hidden="false" outlineLevel="0" max="13" min="10" style="1" width="10"/>
    <col collapsed="false" customWidth="true" hidden="false" outlineLevel="0" max="16" min="14" style="1" width="9"/>
    <col collapsed="false" customWidth="true" hidden="false" outlineLevel="0" max="17" min="17" style="1" width="11"/>
    <col collapsed="false" customWidth="true" hidden="false" outlineLevel="0" max="18" min="18" style="1" width="7"/>
    <col collapsed="false" customWidth="true" hidden="false" outlineLevel="0" max="19" min="19" style="1" width="10"/>
    <col collapsed="false" customWidth="true" hidden="false" outlineLevel="0" max="20" min="20" style="1" width="62"/>
  </cols>
  <sheetData>
    <row r="1" customFormat="false" ht="23.25" hidden="false" customHeight="true" outlineLevel="0" collapsed="false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36</v>
      </c>
      <c r="O1" s="11" t="s">
        <v>37</v>
      </c>
      <c r="P1" s="11" t="s">
        <v>38</v>
      </c>
      <c r="Q1" s="11" t="s">
        <v>39</v>
      </c>
      <c r="R1" s="11" t="s">
        <v>40</v>
      </c>
      <c r="S1" s="11" t="s">
        <v>41</v>
      </c>
      <c r="T1" s="11" t="s">
        <v>42</v>
      </c>
    </row>
    <row r="2" customFormat="false" ht="27.75" hidden="false" customHeight="true" outlineLevel="0" collapsed="false">
      <c r="A2" s="12" t="s">
        <v>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customFormat="false" ht="15" hidden="false" customHeight="true" outlineLevel="0" collapsed="false">
      <c r="A3" s="13" t="n">
        <v>2</v>
      </c>
      <c r="B3" s="13" t="s">
        <v>44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n">
        <v>0.999</v>
      </c>
      <c r="I3" s="13" t="n">
        <v>1</v>
      </c>
      <c r="J3" s="13" t="s">
        <v>15</v>
      </c>
      <c r="K3" s="13" t="n">
        <v>1</v>
      </c>
      <c r="L3" s="14" t="n">
        <f aca="false">IFERROR(INDEX(Assumptions!$B$12:$B$14,MATCH(J3,Assumptions!$A$12:$A$14,0)),0)</f>
        <v>0.95</v>
      </c>
      <c r="M3" s="13" t="n">
        <v>1</v>
      </c>
      <c r="N3" s="14" t="n">
        <f aca="false">K3*L3*M3</f>
        <v>0.95</v>
      </c>
      <c r="O3" s="14" t="n">
        <f aca="false">N3*I3</f>
        <v>0.95</v>
      </c>
      <c r="P3" s="14" t="n">
        <f aca="false">IFERROR(O3/Assumptions!$B$6*Assumptions!$B$8,0)</f>
        <v>0.169642857142857</v>
      </c>
      <c r="Q3" s="13" t="s">
        <v>50</v>
      </c>
      <c r="R3" s="13" t="s">
        <v>50</v>
      </c>
      <c r="S3" s="15" t="s">
        <v>51</v>
      </c>
      <c r="T3" s="13" t="s">
        <v>50</v>
      </c>
    </row>
    <row r="4" customFormat="false" ht="23.25" hidden="false" customHeight="true" outlineLevel="0" collapsed="false">
      <c r="A4" s="13" t="n">
        <v>3</v>
      </c>
      <c r="B4" s="13" t="s">
        <v>44</v>
      </c>
      <c r="C4" s="13" t="s">
        <v>52</v>
      </c>
      <c r="D4" s="13" t="s">
        <v>53</v>
      </c>
      <c r="E4" s="13" t="s">
        <v>54</v>
      </c>
      <c r="F4" s="13" t="s">
        <v>48</v>
      </c>
      <c r="G4" s="13" t="s">
        <v>49</v>
      </c>
      <c r="H4" s="13" t="n">
        <v>0.999</v>
      </c>
      <c r="I4" s="13" t="n">
        <v>1</v>
      </c>
      <c r="J4" s="13" t="s">
        <v>15</v>
      </c>
      <c r="K4" s="13" t="n">
        <v>1</v>
      </c>
      <c r="L4" s="14" t="n">
        <f aca="false">IFERROR(INDEX(Assumptions!$B$12:$B$14,MATCH(J4,Assumptions!$A$12:$A$14,0)),0)</f>
        <v>0.95</v>
      </c>
      <c r="M4" s="13" t="n">
        <v>1</v>
      </c>
      <c r="N4" s="14" t="n">
        <f aca="false">K4*L4*M4</f>
        <v>0.95</v>
      </c>
      <c r="O4" s="14" t="n">
        <f aca="false">N4*I4</f>
        <v>0.95</v>
      </c>
      <c r="P4" s="14" t="n">
        <f aca="false">IFERROR(O4/Assumptions!$B$6*Assumptions!$B$8,0)</f>
        <v>0.169642857142857</v>
      </c>
      <c r="Q4" s="13" t="s">
        <v>50</v>
      </c>
      <c r="R4" s="13" t="s">
        <v>50</v>
      </c>
      <c r="S4" s="15" t="s">
        <v>51</v>
      </c>
      <c r="T4" s="13" t="s">
        <v>55</v>
      </c>
    </row>
    <row r="5" customFormat="false" ht="15" hidden="false" customHeight="true" outlineLevel="0" collapsed="false">
      <c r="A5" s="13" t="n">
        <v>4</v>
      </c>
      <c r="B5" s="13" t="s">
        <v>44</v>
      </c>
      <c r="C5" s="13" t="s">
        <v>56</v>
      </c>
      <c r="D5" s="13" t="s">
        <v>57</v>
      </c>
      <c r="E5" s="13" t="s">
        <v>58</v>
      </c>
      <c r="F5" s="13" t="s">
        <v>48</v>
      </c>
      <c r="G5" s="13" t="s">
        <v>49</v>
      </c>
      <c r="H5" s="13" t="n">
        <v>0.999</v>
      </c>
      <c r="I5" s="13" t="n">
        <v>1</v>
      </c>
      <c r="J5" s="13" t="s">
        <v>15</v>
      </c>
      <c r="K5" s="13" t="n">
        <v>1</v>
      </c>
      <c r="L5" s="14" t="n">
        <f aca="false">IFERROR(INDEX(Assumptions!$B$12:$B$14,MATCH(J5,Assumptions!$A$12:$A$14,0)),0)</f>
        <v>0.95</v>
      </c>
      <c r="M5" s="13" t="n">
        <v>1</v>
      </c>
      <c r="N5" s="14" t="n">
        <f aca="false">K5*L5*M5</f>
        <v>0.95</v>
      </c>
      <c r="O5" s="14" t="n">
        <f aca="false">N5*I5</f>
        <v>0.95</v>
      </c>
      <c r="P5" s="14" t="n">
        <f aca="false">IFERROR(O5/Assumptions!$B$6*Assumptions!$B$8,0)</f>
        <v>0.169642857142857</v>
      </c>
      <c r="Q5" s="13" t="s">
        <v>50</v>
      </c>
      <c r="R5" s="13" t="s">
        <v>50</v>
      </c>
      <c r="S5" s="15" t="s">
        <v>51</v>
      </c>
      <c r="T5" s="13" t="s">
        <v>59</v>
      </c>
    </row>
    <row r="6" customFormat="false" ht="23.25" hidden="false" customHeight="true" outlineLevel="0" collapsed="false">
      <c r="A6" s="13" t="n">
        <v>5</v>
      </c>
      <c r="B6" s="13" t="s">
        <v>44</v>
      </c>
      <c r="C6" s="13" t="s">
        <v>60</v>
      </c>
      <c r="D6" s="13" t="s">
        <v>61</v>
      </c>
      <c r="E6" s="13" t="s">
        <v>62</v>
      </c>
      <c r="F6" s="13" t="s">
        <v>48</v>
      </c>
      <c r="G6" s="13" t="s">
        <v>49</v>
      </c>
      <c r="H6" s="13" t="n">
        <v>0.999</v>
      </c>
      <c r="I6" s="13" t="n">
        <v>1</v>
      </c>
      <c r="J6" s="13" t="s">
        <v>15</v>
      </c>
      <c r="K6" s="13" t="n">
        <v>1</v>
      </c>
      <c r="L6" s="14" t="n">
        <f aca="false">IFERROR(INDEX(Assumptions!$B$12:$B$14,MATCH(J6,Assumptions!$A$12:$A$14,0)),0)</f>
        <v>0.95</v>
      </c>
      <c r="M6" s="13" t="n">
        <v>1</v>
      </c>
      <c r="N6" s="14" t="n">
        <f aca="false">K6*L6*M6</f>
        <v>0.95</v>
      </c>
      <c r="O6" s="14" t="n">
        <f aca="false">N6*I6</f>
        <v>0.95</v>
      </c>
      <c r="P6" s="14" t="n">
        <f aca="false">IFERROR(O6/Assumptions!$B$6*Assumptions!$B$8,0)</f>
        <v>0.169642857142857</v>
      </c>
      <c r="Q6" s="13" t="s">
        <v>50</v>
      </c>
      <c r="R6" s="13" t="s">
        <v>50</v>
      </c>
      <c r="S6" s="15" t="s">
        <v>51</v>
      </c>
      <c r="T6" s="13" t="s">
        <v>63</v>
      </c>
    </row>
    <row r="7" customFormat="false" ht="15" hidden="false" customHeight="true" outlineLevel="0" collapsed="false">
      <c r="A7" s="13" t="n">
        <v>6</v>
      </c>
      <c r="B7" s="13" t="s">
        <v>44</v>
      </c>
      <c r="C7" s="13" t="s">
        <v>64</v>
      </c>
      <c r="D7" s="13" t="s">
        <v>65</v>
      </c>
      <c r="E7" s="13" t="s">
        <v>66</v>
      </c>
      <c r="F7" s="13" t="s">
        <v>48</v>
      </c>
      <c r="G7" s="13" t="s">
        <v>49</v>
      </c>
      <c r="H7" s="13" t="n">
        <v>0.999</v>
      </c>
      <c r="I7" s="13" t="n">
        <v>1</v>
      </c>
      <c r="J7" s="13" t="s">
        <v>15</v>
      </c>
      <c r="K7" s="13" t="n">
        <v>1</v>
      </c>
      <c r="L7" s="14" t="n">
        <f aca="false">IFERROR(INDEX(Assumptions!$B$12:$B$14,MATCH(J7,Assumptions!$A$12:$A$14,0)),0)</f>
        <v>0.95</v>
      </c>
      <c r="M7" s="13" t="n">
        <v>1</v>
      </c>
      <c r="N7" s="14" t="n">
        <f aca="false">K7*L7*M7</f>
        <v>0.95</v>
      </c>
      <c r="O7" s="14" t="n">
        <f aca="false">N7*I7</f>
        <v>0.95</v>
      </c>
      <c r="P7" s="14" t="n">
        <f aca="false">IFERROR(O7/Assumptions!$B$6*Assumptions!$B$8,0)</f>
        <v>0.169642857142857</v>
      </c>
      <c r="Q7" s="13" t="s">
        <v>50</v>
      </c>
      <c r="R7" s="13" t="s">
        <v>50</v>
      </c>
      <c r="S7" s="15" t="s">
        <v>51</v>
      </c>
      <c r="T7" s="13" t="s">
        <v>67</v>
      </c>
    </row>
    <row r="8" customFormat="false" ht="15" hidden="false" customHeight="true" outlineLevel="0" collapsed="false">
      <c r="A8" s="13" t="n">
        <v>7</v>
      </c>
      <c r="B8" s="13" t="s">
        <v>44</v>
      </c>
      <c r="C8" s="13" t="s">
        <v>68</v>
      </c>
      <c r="D8" s="13" t="s">
        <v>69</v>
      </c>
      <c r="E8" s="13" t="s">
        <v>70</v>
      </c>
      <c r="F8" s="13" t="s">
        <v>48</v>
      </c>
      <c r="G8" s="13" t="s">
        <v>49</v>
      </c>
      <c r="H8" s="13" t="n">
        <v>0.999</v>
      </c>
      <c r="I8" s="13" t="n">
        <v>1</v>
      </c>
      <c r="J8" s="13" t="s">
        <v>15</v>
      </c>
      <c r="K8" s="13" t="n">
        <v>1</v>
      </c>
      <c r="L8" s="14" t="n">
        <f aca="false">IFERROR(INDEX(Assumptions!$B$12:$B$14,MATCH(J8,Assumptions!$A$12:$A$14,0)),0)</f>
        <v>0.95</v>
      </c>
      <c r="M8" s="13" t="n">
        <v>1</v>
      </c>
      <c r="N8" s="14" t="n">
        <f aca="false">K8*L8*M8</f>
        <v>0.95</v>
      </c>
      <c r="O8" s="14" t="n">
        <f aca="false">N8*I8</f>
        <v>0.95</v>
      </c>
      <c r="P8" s="14" t="n">
        <f aca="false">IFERROR(O8/Assumptions!$B$6*Assumptions!$B$8,0)</f>
        <v>0.169642857142857</v>
      </c>
      <c r="Q8" s="13" t="s">
        <v>50</v>
      </c>
      <c r="R8" s="13" t="s">
        <v>50</v>
      </c>
      <c r="S8" s="15" t="s">
        <v>51</v>
      </c>
      <c r="T8" s="13" t="s">
        <v>71</v>
      </c>
    </row>
    <row r="9" customFormat="false" ht="15" hidden="false" customHeight="true" outlineLevel="0" collapsed="false">
      <c r="A9" s="13" t="n">
        <v>8</v>
      </c>
      <c r="B9" s="13" t="s">
        <v>44</v>
      </c>
      <c r="C9" s="13" t="s">
        <v>72</v>
      </c>
      <c r="D9" s="13" t="s">
        <v>73</v>
      </c>
      <c r="E9" s="13" t="s">
        <v>74</v>
      </c>
      <c r="F9" s="13" t="s">
        <v>48</v>
      </c>
      <c r="G9" s="13" t="s">
        <v>49</v>
      </c>
      <c r="H9" s="13" t="n">
        <v>0.999</v>
      </c>
      <c r="I9" s="13" t="n">
        <v>1</v>
      </c>
      <c r="J9" s="13" t="s">
        <v>15</v>
      </c>
      <c r="K9" s="13" t="n">
        <v>1</v>
      </c>
      <c r="L9" s="14" t="n">
        <f aca="false">IFERROR(INDEX(Assumptions!$B$12:$B$14,MATCH(J9,Assumptions!$A$12:$A$14,0)),0)</f>
        <v>0.95</v>
      </c>
      <c r="M9" s="13" t="n">
        <v>1</v>
      </c>
      <c r="N9" s="14" t="n">
        <f aca="false">K9*L9*M9</f>
        <v>0.95</v>
      </c>
      <c r="O9" s="14" t="n">
        <f aca="false">N9*I9</f>
        <v>0.95</v>
      </c>
      <c r="P9" s="14" t="n">
        <f aca="false">IFERROR(O9/Assumptions!$B$6*Assumptions!$B$8,0)</f>
        <v>0.169642857142857</v>
      </c>
      <c r="Q9" s="13" t="s">
        <v>50</v>
      </c>
      <c r="R9" s="13" t="s">
        <v>50</v>
      </c>
      <c r="S9" s="15" t="s">
        <v>51</v>
      </c>
      <c r="T9" s="13" t="s">
        <v>75</v>
      </c>
    </row>
    <row r="10" customFormat="false" ht="15" hidden="false" customHeight="true" outlineLevel="0" collapsed="false">
      <c r="A10" s="13" t="n">
        <v>9</v>
      </c>
      <c r="B10" s="13" t="s">
        <v>44</v>
      </c>
      <c r="C10" s="13" t="s">
        <v>76</v>
      </c>
      <c r="D10" s="13" t="s">
        <v>77</v>
      </c>
      <c r="E10" s="13" t="s">
        <v>78</v>
      </c>
      <c r="F10" s="13" t="s">
        <v>48</v>
      </c>
      <c r="G10" s="13" t="s">
        <v>49</v>
      </c>
      <c r="H10" s="13" t="n">
        <v>0.999</v>
      </c>
      <c r="I10" s="13" t="n">
        <v>1</v>
      </c>
      <c r="J10" s="13" t="s">
        <v>15</v>
      </c>
      <c r="K10" s="13" t="n">
        <v>1</v>
      </c>
      <c r="L10" s="14" t="n">
        <f aca="false">IFERROR(INDEX(Assumptions!$B$12:$B$14,MATCH(J10,Assumptions!$A$12:$A$14,0)),0)</f>
        <v>0.95</v>
      </c>
      <c r="M10" s="13" t="n">
        <v>1</v>
      </c>
      <c r="N10" s="14" t="n">
        <f aca="false">K10*L10*M10</f>
        <v>0.95</v>
      </c>
      <c r="O10" s="14" t="n">
        <f aca="false">N10*I10</f>
        <v>0.95</v>
      </c>
      <c r="P10" s="14" t="n">
        <f aca="false">IFERROR(O10/Assumptions!$B$6*Assumptions!$B$8,0)</f>
        <v>0.169642857142857</v>
      </c>
      <c r="Q10" s="13" t="s">
        <v>50</v>
      </c>
      <c r="R10" s="13" t="s">
        <v>50</v>
      </c>
      <c r="S10" s="15" t="s">
        <v>51</v>
      </c>
      <c r="T10" s="13" t="s">
        <v>79</v>
      </c>
    </row>
    <row r="11" customFormat="false" ht="27.75" hidden="false" customHeight="true" outlineLevel="0" collapsed="false">
      <c r="A11" s="12" t="s">
        <v>80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customFormat="false" ht="23.25" hidden="false" customHeight="true" outlineLevel="0" collapsed="false">
      <c r="A12" s="13" t="n">
        <v>11</v>
      </c>
      <c r="B12" s="13" t="s">
        <v>81</v>
      </c>
      <c r="C12" s="13" t="s">
        <v>82</v>
      </c>
      <c r="D12" s="13" t="s">
        <v>83</v>
      </c>
      <c r="E12" s="13" t="s">
        <v>84</v>
      </c>
      <c r="F12" s="13" t="s">
        <v>48</v>
      </c>
      <c r="G12" s="13" t="s">
        <v>49</v>
      </c>
      <c r="H12" s="13" t="n">
        <v>0.999</v>
      </c>
      <c r="I12" s="13" t="n">
        <v>5</v>
      </c>
      <c r="J12" s="13" t="s">
        <v>13</v>
      </c>
      <c r="K12" s="13" t="n">
        <v>1</v>
      </c>
      <c r="L12" s="14" t="n">
        <f aca="false">IFERROR(INDEX(Assumptions!$B$12:$B$14,MATCH(J12,Assumptions!$A$12:$A$14,0)),0)</f>
        <v>1</v>
      </c>
      <c r="M12" s="13" t="n">
        <v>1</v>
      </c>
      <c r="N12" s="14" t="n">
        <f aca="false">K12*L12*M12</f>
        <v>1</v>
      </c>
      <c r="O12" s="14" t="n">
        <f aca="false">N12*I12</f>
        <v>5</v>
      </c>
      <c r="P12" s="14" t="n">
        <f aca="false">IFERROR(O12/Assumptions!$B$6*Assumptions!$B$8,0)</f>
        <v>0.892857142857143</v>
      </c>
      <c r="Q12" s="13" t="s">
        <v>50</v>
      </c>
      <c r="R12" s="13" t="s">
        <v>50</v>
      </c>
      <c r="S12" s="15" t="s">
        <v>51</v>
      </c>
      <c r="T12" s="13" t="s">
        <v>85</v>
      </c>
    </row>
    <row r="13" customFormat="false" ht="15" hidden="false" customHeight="true" outlineLevel="0" collapsed="false">
      <c r="A13" s="13" t="n">
        <v>12</v>
      </c>
      <c r="B13" s="13" t="s">
        <v>81</v>
      </c>
      <c r="C13" s="13" t="s">
        <v>86</v>
      </c>
      <c r="D13" s="13" t="s">
        <v>87</v>
      </c>
      <c r="E13" s="13" t="s">
        <v>88</v>
      </c>
      <c r="F13" s="13" t="s">
        <v>48</v>
      </c>
      <c r="G13" s="13" t="s">
        <v>49</v>
      </c>
      <c r="H13" s="13" t="n">
        <v>0.999</v>
      </c>
      <c r="I13" s="13" t="n">
        <v>5</v>
      </c>
      <c r="J13" s="13" t="s">
        <v>15</v>
      </c>
      <c r="K13" s="13" t="n">
        <v>1</v>
      </c>
      <c r="L13" s="14" t="n">
        <f aca="false">IFERROR(INDEX(Assumptions!$B$12:$B$14,MATCH(J13,Assumptions!$A$12:$A$14,0)),0)</f>
        <v>0.95</v>
      </c>
      <c r="M13" s="13" t="n">
        <v>1</v>
      </c>
      <c r="N13" s="14" t="n">
        <f aca="false">K13*L13*M13</f>
        <v>0.95</v>
      </c>
      <c r="O13" s="14" t="n">
        <f aca="false">N13*I13</f>
        <v>4.75</v>
      </c>
      <c r="P13" s="14" t="n">
        <f aca="false">IFERROR(O13/Assumptions!$B$6*Assumptions!$B$8,0)</f>
        <v>0.848214285714286</v>
      </c>
      <c r="Q13" s="13" t="s">
        <v>82</v>
      </c>
      <c r="R13" s="13" t="s">
        <v>50</v>
      </c>
      <c r="S13" s="15" t="s">
        <v>51</v>
      </c>
      <c r="T13" s="13" t="s">
        <v>89</v>
      </c>
    </row>
    <row r="14" customFormat="false" ht="23.25" hidden="false" customHeight="true" outlineLevel="0" collapsed="false">
      <c r="A14" s="13" t="n">
        <v>13</v>
      </c>
      <c r="B14" s="13" t="s">
        <v>81</v>
      </c>
      <c r="C14" s="13" t="s">
        <v>90</v>
      </c>
      <c r="D14" s="13" t="s">
        <v>91</v>
      </c>
      <c r="E14" s="13" t="s">
        <v>92</v>
      </c>
      <c r="F14" s="13" t="s">
        <v>48</v>
      </c>
      <c r="G14" s="13" t="s">
        <v>49</v>
      </c>
      <c r="H14" s="13" t="n">
        <v>0.999</v>
      </c>
      <c r="I14" s="13" t="n">
        <v>5</v>
      </c>
      <c r="J14" s="13" t="s">
        <v>15</v>
      </c>
      <c r="K14" s="13" t="n">
        <v>1</v>
      </c>
      <c r="L14" s="14" t="n">
        <f aca="false">IFERROR(INDEX(Assumptions!$B$12:$B$14,MATCH(J14,Assumptions!$A$12:$A$14,0)),0)</f>
        <v>0.95</v>
      </c>
      <c r="M14" s="13" t="n">
        <v>1</v>
      </c>
      <c r="N14" s="14" t="n">
        <f aca="false">K14*L14*M14</f>
        <v>0.95</v>
      </c>
      <c r="O14" s="14" t="n">
        <f aca="false">N14*I14</f>
        <v>4.75</v>
      </c>
      <c r="P14" s="14" t="n">
        <f aca="false">IFERROR(O14/Assumptions!$B$6*Assumptions!$B$8,0)</f>
        <v>0.848214285714286</v>
      </c>
      <c r="Q14" s="13" t="s">
        <v>82</v>
      </c>
      <c r="R14" s="13" t="s">
        <v>50</v>
      </c>
      <c r="S14" s="15" t="s">
        <v>51</v>
      </c>
      <c r="T14" s="13" t="s">
        <v>93</v>
      </c>
    </row>
    <row r="15" customFormat="false" ht="15" hidden="false" customHeight="true" outlineLevel="0" collapsed="false">
      <c r="A15" s="13" t="n">
        <v>14</v>
      </c>
      <c r="B15" s="13" t="s">
        <v>81</v>
      </c>
      <c r="C15" s="13" t="s">
        <v>94</v>
      </c>
      <c r="D15" s="13" t="s">
        <v>95</v>
      </c>
      <c r="E15" s="13" t="s">
        <v>96</v>
      </c>
      <c r="F15" s="13" t="s">
        <v>48</v>
      </c>
      <c r="G15" s="13" t="s">
        <v>49</v>
      </c>
      <c r="H15" s="13" t="n">
        <v>0.999</v>
      </c>
      <c r="I15" s="13" t="n">
        <v>5</v>
      </c>
      <c r="J15" s="13" t="s">
        <v>15</v>
      </c>
      <c r="K15" s="13" t="n">
        <v>1</v>
      </c>
      <c r="L15" s="14" t="n">
        <f aca="false">IFERROR(INDEX(Assumptions!$B$12:$B$14,MATCH(J15,Assumptions!$A$12:$A$14,0)),0)</f>
        <v>0.95</v>
      </c>
      <c r="M15" s="13" t="n">
        <v>1</v>
      </c>
      <c r="N15" s="14" t="n">
        <f aca="false">K15*L15*M15</f>
        <v>0.95</v>
      </c>
      <c r="O15" s="14" t="n">
        <f aca="false">N15*I15</f>
        <v>4.75</v>
      </c>
      <c r="P15" s="14" t="n">
        <f aca="false">IFERROR(O15/Assumptions!$B$6*Assumptions!$B$8,0)</f>
        <v>0.848214285714286</v>
      </c>
      <c r="Q15" s="13" t="s">
        <v>82</v>
      </c>
      <c r="R15" s="13" t="s">
        <v>50</v>
      </c>
      <c r="S15" s="15" t="s">
        <v>51</v>
      </c>
      <c r="T15" s="13"/>
    </row>
    <row r="16" customFormat="false" ht="23.25" hidden="false" customHeight="true" outlineLevel="0" collapsed="false">
      <c r="A16" s="13" t="n">
        <v>15</v>
      </c>
      <c r="B16" s="13" t="s">
        <v>81</v>
      </c>
      <c r="C16" s="13" t="s">
        <v>97</v>
      </c>
      <c r="D16" s="13" t="s">
        <v>98</v>
      </c>
      <c r="E16" s="13" t="s">
        <v>99</v>
      </c>
      <c r="F16" s="13" t="s">
        <v>48</v>
      </c>
      <c r="G16" s="13" t="s">
        <v>49</v>
      </c>
      <c r="H16" s="13" t="n">
        <v>0.999</v>
      </c>
      <c r="I16" s="13" t="n">
        <v>5</v>
      </c>
      <c r="J16" s="13" t="s">
        <v>15</v>
      </c>
      <c r="K16" s="13" t="n">
        <v>1</v>
      </c>
      <c r="L16" s="14" t="n">
        <f aca="false">IFERROR(INDEX(Assumptions!$B$12:$B$14,MATCH(J16,Assumptions!$A$12:$A$14,0)),0)</f>
        <v>0.95</v>
      </c>
      <c r="M16" s="13" t="n">
        <v>1</v>
      </c>
      <c r="N16" s="14" t="n">
        <f aca="false">K16*L16*M16</f>
        <v>0.95</v>
      </c>
      <c r="O16" s="14" t="n">
        <f aca="false">N16*I16</f>
        <v>4.75</v>
      </c>
      <c r="P16" s="14" t="n">
        <f aca="false">IFERROR(O16/Assumptions!$B$6*Assumptions!$B$8,0)</f>
        <v>0.848214285714286</v>
      </c>
      <c r="Q16" s="13" t="s">
        <v>82</v>
      </c>
      <c r="R16" s="13" t="s">
        <v>50</v>
      </c>
      <c r="S16" s="15" t="s">
        <v>51</v>
      </c>
      <c r="T16" s="13" t="s">
        <v>100</v>
      </c>
    </row>
    <row r="17" customFormat="false" ht="23.25" hidden="false" customHeight="true" outlineLevel="0" collapsed="false">
      <c r="A17" s="13" t="n">
        <v>16</v>
      </c>
      <c r="B17" s="13" t="s">
        <v>81</v>
      </c>
      <c r="C17" s="13" t="s">
        <v>101</v>
      </c>
      <c r="D17" s="13" t="s">
        <v>102</v>
      </c>
      <c r="E17" s="13" t="s">
        <v>103</v>
      </c>
      <c r="F17" s="13" t="s">
        <v>48</v>
      </c>
      <c r="G17" s="13" t="s">
        <v>49</v>
      </c>
      <c r="H17" s="13" t="n">
        <v>0.999</v>
      </c>
      <c r="I17" s="13" t="n">
        <v>5</v>
      </c>
      <c r="J17" s="13" t="s">
        <v>17</v>
      </c>
      <c r="K17" s="13" t="n">
        <v>1.1</v>
      </c>
      <c r="L17" s="14" t="n">
        <f aca="false">IFERROR(INDEX(Assumptions!$B$12:$B$14,MATCH(J17,Assumptions!$A$12:$A$14,0)),0)</f>
        <v>1.95</v>
      </c>
      <c r="M17" s="13" t="n">
        <v>1</v>
      </c>
      <c r="N17" s="14" t="n">
        <f aca="false">K17*L17*M17</f>
        <v>2.145</v>
      </c>
      <c r="O17" s="14" t="n">
        <f aca="false">N17*I17</f>
        <v>10.725</v>
      </c>
      <c r="P17" s="14" t="n">
        <f aca="false">IFERROR(O17/Assumptions!$B$6*Assumptions!$B$8,0)</f>
        <v>1.91517857142857</v>
      </c>
      <c r="Q17" s="13" t="s">
        <v>82</v>
      </c>
      <c r="R17" s="13" t="s">
        <v>104</v>
      </c>
      <c r="S17" s="15" t="s">
        <v>51</v>
      </c>
      <c r="T17" s="13" t="s">
        <v>105</v>
      </c>
    </row>
    <row r="18" customFormat="false" ht="23.25" hidden="false" customHeight="true" outlineLevel="0" collapsed="false">
      <c r="A18" s="13" t="n">
        <v>17</v>
      </c>
      <c r="B18" s="13" t="s">
        <v>81</v>
      </c>
      <c r="C18" s="13" t="s">
        <v>106</v>
      </c>
      <c r="D18" s="13" t="s">
        <v>107</v>
      </c>
      <c r="E18" s="13" t="s">
        <v>108</v>
      </c>
      <c r="F18" s="13" t="s">
        <v>48</v>
      </c>
      <c r="G18" s="13" t="s">
        <v>49</v>
      </c>
      <c r="H18" s="13" t="n">
        <v>0.999</v>
      </c>
      <c r="I18" s="13" t="n">
        <v>5</v>
      </c>
      <c r="J18" s="13" t="s">
        <v>15</v>
      </c>
      <c r="K18" s="13" t="n">
        <v>1</v>
      </c>
      <c r="L18" s="14" t="n">
        <f aca="false">IFERROR(INDEX(Assumptions!$B$12:$B$14,MATCH(J18,Assumptions!$A$12:$A$14,0)),0)</f>
        <v>0.95</v>
      </c>
      <c r="M18" s="13" t="n">
        <v>1</v>
      </c>
      <c r="N18" s="14" t="n">
        <f aca="false">K18*L18*M18</f>
        <v>0.95</v>
      </c>
      <c r="O18" s="14" t="n">
        <f aca="false">N18*I18</f>
        <v>4.75</v>
      </c>
      <c r="P18" s="14" t="n">
        <f aca="false">IFERROR(O18/Assumptions!$B$6*Assumptions!$B$8,0)</f>
        <v>0.848214285714286</v>
      </c>
      <c r="Q18" s="13" t="s">
        <v>82</v>
      </c>
      <c r="R18" s="13" t="s">
        <v>50</v>
      </c>
      <c r="S18" s="15" t="s">
        <v>51</v>
      </c>
      <c r="T18" s="13" t="s">
        <v>109</v>
      </c>
    </row>
    <row r="19" customFormat="false" ht="23.25" hidden="false" customHeight="true" outlineLevel="0" collapsed="false">
      <c r="A19" s="13" t="n">
        <v>18</v>
      </c>
      <c r="B19" s="13" t="s">
        <v>81</v>
      </c>
      <c r="C19" s="13" t="s">
        <v>110</v>
      </c>
      <c r="D19" s="13" t="s">
        <v>111</v>
      </c>
      <c r="E19" s="13" t="s">
        <v>112</v>
      </c>
      <c r="F19" s="13" t="s">
        <v>48</v>
      </c>
      <c r="G19" s="13" t="s">
        <v>49</v>
      </c>
      <c r="H19" s="13" t="n">
        <v>0.999</v>
      </c>
      <c r="I19" s="13" t="n">
        <v>5</v>
      </c>
      <c r="J19" s="13" t="s">
        <v>17</v>
      </c>
      <c r="K19" s="13" t="n">
        <v>1.4</v>
      </c>
      <c r="L19" s="14" t="n">
        <f aca="false">IFERROR(INDEX(Assumptions!$B$12:$B$14,MATCH(J19,Assumptions!$A$12:$A$14,0)),0)</f>
        <v>1.95</v>
      </c>
      <c r="M19" s="13" t="n">
        <v>1</v>
      </c>
      <c r="N19" s="14" t="n">
        <f aca="false">K19*L19*M19</f>
        <v>2.73</v>
      </c>
      <c r="O19" s="14" t="n">
        <f aca="false">N19*I19</f>
        <v>13.65</v>
      </c>
      <c r="P19" s="14" t="n">
        <f aca="false">IFERROR(O19/Assumptions!$B$6*Assumptions!$B$8,0)</f>
        <v>2.4375</v>
      </c>
      <c r="Q19" s="13" t="s">
        <v>101</v>
      </c>
      <c r="R19" s="13" t="s">
        <v>50</v>
      </c>
      <c r="S19" s="15" t="s">
        <v>51</v>
      </c>
      <c r="T19" s="13" t="s">
        <v>113</v>
      </c>
    </row>
    <row r="20" customFormat="false" ht="15" hidden="false" customHeight="true" outlineLevel="0" collapsed="false">
      <c r="A20" s="13" t="n">
        <v>19</v>
      </c>
      <c r="B20" s="13" t="s">
        <v>81</v>
      </c>
      <c r="C20" s="13" t="s">
        <v>114</v>
      </c>
      <c r="D20" s="13" t="s">
        <v>115</v>
      </c>
      <c r="E20" s="13" t="s">
        <v>116</v>
      </c>
      <c r="F20" s="13" t="s">
        <v>48</v>
      </c>
      <c r="G20" s="13" t="s">
        <v>49</v>
      </c>
      <c r="H20" s="13" t="n">
        <v>0.999</v>
      </c>
      <c r="I20" s="13" t="n">
        <v>5</v>
      </c>
      <c r="J20" s="13" t="s">
        <v>17</v>
      </c>
      <c r="K20" s="13" t="n">
        <v>1.6</v>
      </c>
      <c r="L20" s="14" t="n">
        <f aca="false">IFERROR(INDEX(Assumptions!$B$12:$B$14,MATCH(J20,Assumptions!$A$12:$A$14,0)),0)</f>
        <v>1.95</v>
      </c>
      <c r="M20" s="13" t="n">
        <v>1</v>
      </c>
      <c r="N20" s="14" t="n">
        <f aca="false">K20*L20*M20</f>
        <v>3.12</v>
      </c>
      <c r="O20" s="14" t="n">
        <f aca="false">N20*I20</f>
        <v>15.6</v>
      </c>
      <c r="P20" s="14" t="n">
        <f aca="false">IFERROR(O20/Assumptions!$B$6*Assumptions!$B$8,0)</f>
        <v>2.78571428571429</v>
      </c>
      <c r="Q20" s="13" t="s">
        <v>110</v>
      </c>
      <c r="R20" s="13" t="s">
        <v>117</v>
      </c>
      <c r="S20" s="15" t="s">
        <v>51</v>
      </c>
      <c r="T20" s="13" t="s">
        <v>118</v>
      </c>
    </row>
    <row r="21" customFormat="false" ht="15" hidden="false" customHeight="true" outlineLevel="0" collapsed="false">
      <c r="A21" s="13" t="n">
        <v>20</v>
      </c>
      <c r="B21" s="13" t="s">
        <v>81</v>
      </c>
      <c r="C21" s="13" t="s">
        <v>119</v>
      </c>
      <c r="D21" s="13" t="s">
        <v>120</v>
      </c>
      <c r="E21" s="13" t="s">
        <v>121</v>
      </c>
      <c r="F21" s="13" t="s">
        <v>48</v>
      </c>
      <c r="G21" s="13" t="s">
        <v>49</v>
      </c>
      <c r="H21" s="13" t="n">
        <v>0.999</v>
      </c>
      <c r="I21" s="13" t="n">
        <v>5</v>
      </c>
      <c r="J21" s="13" t="s">
        <v>17</v>
      </c>
      <c r="K21" s="13" t="n">
        <v>1.6</v>
      </c>
      <c r="L21" s="14" t="n">
        <f aca="false">IFERROR(INDEX(Assumptions!$B$12:$B$14,MATCH(J21,Assumptions!$A$12:$A$14,0)),0)</f>
        <v>1.95</v>
      </c>
      <c r="M21" s="13" t="n">
        <v>1</v>
      </c>
      <c r="N21" s="14" t="n">
        <f aca="false">K21*L21*M21</f>
        <v>3.12</v>
      </c>
      <c r="O21" s="14" t="n">
        <f aca="false">N21*I21</f>
        <v>15.6</v>
      </c>
      <c r="P21" s="14" t="n">
        <f aca="false">IFERROR(O21/Assumptions!$B$6*Assumptions!$B$8,0)</f>
        <v>2.78571428571429</v>
      </c>
      <c r="Q21" s="13" t="s">
        <v>114</v>
      </c>
      <c r="R21" s="13" t="s">
        <v>117</v>
      </c>
      <c r="S21" s="15" t="s">
        <v>51</v>
      </c>
      <c r="T21" s="13"/>
    </row>
    <row r="22" customFormat="false" ht="23.25" hidden="false" customHeight="true" outlineLevel="0" collapsed="false">
      <c r="A22" s="13" t="n">
        <v>21</v>
      </c>
      <c r="B22" s="13" t="s">
        <v>81</v>
      </c>
      <c r="C22" s="13" t="s">
        <v>122</v>
      </c>
      <c r="D22" s="13" t="s">
        <v>123</v>
      </c>
      <c r="E22" s="13" t="s">
        <v>124</v>
      </c>
      <c r="F22" s="13" t="s">
        <v>48</v>
      </c>
      <c r="G22" s="13" t="s">
        <v>49</v>
      </c>
      <c r="H22" s="13" t="n">
        <v>0.999</v>
      </c>
      <c r="I22" s="13" t="n">
        <v>5</v>
      </c>
      <c r="J22" s="13" t="s">
        <v>17</v>
      </c>
      <c r="K22" s="13" t="n">
        <v>1.8</v>
      </c>
      <c r="L22" s="14" t="n">
        <f aca="false">IFERROR(INDEX(Assumptions!$B$12:$B$14,MATCH(J22,Assumptions!$A$12:$A$14,0)),0)</f>
        <v>1.95</v>
      </c>
      <c r="M22" s="13" t="n">
        <v>1</v>
      </c>
      <c r="N22" s="14" t="n">
        <f aca="false">K22*L22*M22</f>
        <v>3.51</v>
      </c>
      <c r="O22" s="14" t="n">
        <f aca="false">N22*I22</f>
        <v>17.55</v>
      </c>
      <c r="P22" s="14" t="n">
        <f aca="false">IFERROR(O22/Assumptions!$B$6*Assumptions!$B$8,0)</f>
        <v>3.13392857142857</v>
      </c>
      <c r="Q22" s="13" t="s">
        <v>119</v>
      </c>
      <c r="R22" s="13" t="s">
        <v>125</v>
      </c>
      <c r="S22" s="15" t="s">
        <v>51</v>
      </c>
      <c r="T22" s="13" t="s">
        <v>126</v>
      </c>
    </row>
    <row r="23" customFormat="false" ht="15" hidden="false" customHeight="true" outlineLevel="0" collapsed="false">
      <c r="A23" s="13" t="n">
        <v>22</v>
      </c>
      <c r="B23" s="13" t="s">
        <v>81</v>
      </c>
      <c r="C23" s="13" t="s">
        <v>127</v>
      </c>
      <c r="D23" s="13" t="s">
        <v>128</v>
      </c>
      <c r="E23" s="13" t="s">
        <v>129</v>
      </c>
      <c r="F23" s="13" t="s">
        <v>48</v>
      </c>
      <c r="G23" s="13" t="s">
        <v>49</v>
      </c>
      <c r="H23" s="13" t="n">
        <v>0.999</v>
      </c>
      <c r="I23" s="13" t="n">
        <v>5</v>
      </c>
      <c r="J23" s="13" t="s">
        <v>17</v>
      </c>
      <c r="K23" s="13" t="n">
        <v>2</v>
      </c>
      <c r="L23" s="14" t="n">
        <f aca="false">IFERROR(INDEX(Assumptions!$B$12:$B$14,MATCH(J23,Assumptions!$A$12:$A$14,0)),0)</f>
        <v>1.95</v>
      </c>
      <c r="M23" s="13" t="n">
        <v>1</v>
      </c>
      <c r="N23" s="14" t="n">
        <f aca="false">K23*L23*M23</f>
        <v>3.9</v>
      </c>
      <c r="O23" s="14" t="n">
        <f aca="false">N23*I23</f>
        <v>19.5</v>
      </c>
      <c r="P23" s="14" t="n">
        <f aca="false">IFERROR(O23/Assumptions!$B$6*Assumptions!$B$8,0)</f>
        <v>3.48214285714286</v>
      </c>
      <c r="Q23" s="13" t="s">
        <v>122</v>
      </c>
      <c r="R23" s="13" t="s">
        <v>130</v>
      </c>
      <c r="S23" s="15" t="s">
        <v>51</v>
      </c>
      <c r="T23" s="13"/>
    </row>
    <row r="24" customFormat="false" ht="23.25" hidden="false" customHeight="true" outlineLevel="0" collapsed="false">
      <c r="A24" s="13" t="n">
        <v>23</v>
      </c>
      <c r="B24" s="13" t="s">
        <v>81</v>
      </c>
      <c r="C24" s="13" t="s">
        <v>131</v>
      </c>
      <c r="D24" s="13" t="s">
        <v>132</v>
      </c>
      <c r="E24" s="13" t="s">
        <v>133</v>
      </c>
      <c r="F24" s="13" t="s">
        <v>48</v>
      </c>
      <c r="G24" s="13" t="s">
        <v>49</v>
      </c>
      <c r="H24" s="13" t="n">
        <v>0.999</v>
      </c>
      <c r="I24" s="13" t="n">
        <v>5</v>
      </c>
      <c r="J24" s="13" t="s">
        <v>17</v>
      </c>
      <c r="K24" s="13" t="n">
        <v>2.2</v>
      </c>
      <c r="L24" s="14" t="n">
        <f aca="false">IFERROR(INDEX(Assumptions!$B$12:$B$14,MATCH(J24,Assumptions!$A$12:$A$14,0)),0)</f>
        <v>1.95</v>
      </c>
      <c r="M24" s="13" t="n">
        <v>1</v>
      </c>
      <c r="N24" s="14" t="n">
        <f aca="false">K24*L24*M24</f>
        <v>4.29</v>
      </c>
      <c r="O24" s="14" t="n">
        <f aca="false">N24*I24</f>
        <v>21.45</v>
      </c>
      <c r="P24" s="14" t="n">
        <f aca="false">IFERROR(O24/Assumptions!$B$6*Assumptions!$B$8,0)</f>
        <v>3.83035714285714</v>
      </c>
      <c r="Q24" s="13" t="s">
        <v>127</v>
      </c>
      <c r="R24" s="13" t="s">
        <v>130</v>
      </c>
      <c r="S24" s="15" t="s">
        <v>51</v>
      </c>
      <c r="T24" s="13" t="s">
        <v>134</v>
      </c>
    </row>
    <row r="25" customFormat="false" ht="27.75" hidden="false" customHeight="true" outlineLevel="0" collapsed="false">
      <c r="A25" s="12" t="s">
        <v>135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customFormat="false" ht="23.25" hidden="false" customHeight="true" outlineLevel="0" collapsed="false">
      <c r="A26" s="13" t="n">
        <v>25</v>
      </c>
      <c r="B26" s="13" t="s">
        <v>136</v>
      </c>
      <c r="C26" s="13" t="s">
        <v>82</v>
      </c>
      <c r="D26" s="13" t="s">
        <v>137</v>
      </c>
      <c r="E26" s="13" t="s">
        <v>138</v>
      </c>
      <c r="F26" s="13" t="s">
        <v>48</v>
      </c>
      <c r="G26" s="13" t="s">
        <v>139</v>
      </c>
      <c r="H26" s="13" t="n">
        <v>0.999</v>
      </c>
      <c r="I26" s="13" t="n">
        <v>2</v>
      </c>
      <c r="J26" s="13" t="s">
        <v>13</v>
      </c>
      <c r="K26" s="13" t="n">
        <v>1</v>
      </c>
      <c r="L26" s="14" t="n">
        <f aca="false">IFERROR(INDEX(Assumptions!$B$12:$B$14,MATCH(J26,Assumptions!$A$12:$A$14,0)),0)</f>
        <v>1</v>
      </c>
      <c r="M26" s="13" t="n">
        <v>1</v>
      </c>
      <c r="N26" s="14" t="n">
        <f aca="false">K26*L26*M26</f>
        <v>1</v>
      </c>
      <c r="O26" s="14" t="n">
        <f aca="false">N26*I26</f>
        <v>2</v>
      </c>
      <c r="P26" s="14" t="n">
        <f aca="false">IFERROR(O26/Assumptions!$B$6*Assumptions!$B$8,0)</f>
        <v>0.357142857142857</v>
      </c>
      <c r="Q26" s="13" t="s">
        <v>50</v>
      </c>
      <c r="R26" s="13" t="s">
        <v>50</v>
      </c>
      <c r="S26" s="15" t="s">
        <v>51</v>
      </c>
      <c r="T26" s="13" t="s">
        <v>140</v>
      </c>
    </row>
    <row r="27" customFormat="false" ht="15" hidden="false" customHeight="true" outlineLevel="0" collapsed="false">
      <c r="A27" s="13" t="n">
        <v>26</v>
      </c>
      <c r="B27" s="13" t="s">
        <v>136</v>
      </c>
      <c r="C27" s="13" t="s">
        <v>106</v>
      </c>
      <c r="D27" s="13" t="s">
        <v>141</v>
      </c>
      <c r="E27" s="13" t="s">
        <v>142</v>
      </c>
      <c r="F27" s="13" t="s">
        <v>48</v>
      </c>
      <c r="G27" s="13" t="s">
        <v>139</v>
      </c>
      <c r="H27" s="13" t="n">
        <v>0.999</v>
      </c>
      <c r="I27" s="13" t="n">
        <v>2</v>
      </c>
      <c r="J27" s="13" t="s">
        <v>15</v>
      </c>
      <c r="K27" s="13" t="n">
        <v>1</v>
      </c>
      <c r="L27" s="14" t="n">
        <f aca="false">IFERROR(INDEX(Assumptions!$B$12:$B$14,MATCH(J27,Assumptions!$A$12:$A$14,0)),0)</f>
        <v>0.95</v>
      </c>
      <c r="M27" s="13" t="n">
        <v>1</v>
      </c>
      <c r="N27" s="14" t="n">
        <f aca="false">K27*L27*M27</f>
        <v>0.95</v>
      </c>
      <c r="O27" s="14" t="n">
        <f aca="false">N27*I27</f>
        <v>1.9</v>
      </c>
      <c r="P27" s="14" t="n">
        <f aca="false">IFERROR(O27/Assumptions!$B$6*Assumptions!$B$8,0)</f>
        <v>0.339285714285714</v>
      </c>
      <c r="Q27" s="13" t="s">
        <v>82</v>
      </c>
      <c r="R27" s="13" t="s">
        <v>50</v>
      </c>
      <c r="S27" s="15" t="s">
        <v>51</v>
      </c>
      <c r="T27" s="13" t="s">
        <v>143</v>
      </c>
    </row>
    <row r="28" customFormat="false" ht="15" hidden="false" customHeight="true" outlineLevel="0" collapsed="false">
      <c r="A28" s="13" t="n">
        <v>27</v>
      </c>
      <c r="B28" s="13" t="s">
        <v>136</v>
      </c>
      <c r="C28" s="13" t="s">
        <v>114</v>
      </c>
      <c r="D28" s="13" t="s">
        <v>115</v>
      </c>
      <c r="E28" s="13" t="s">
        <v>144</v>
      </c>
      <c r="F28" s="13" t="s">
        <v>48</v>
      </c>
      <c r="G28" s="13" t="s">
        <v>139</v>
      </c>
      <c r="H28" s="13" t="n">
        <v>0.999</v>
      </c>
      <c r="I28" s="13" t="n">
        <v>2</v>
      </c>
      <c r="J28" s="13" t="s">
        <v>17</v>
      </c>
      <c r="K28" s="13" t="n">
        <v>1.6</v>
      </c>
      <c r="L28" s="14" t="n">
        <f aca="false">IFERROR(INDEX(Assumptions!$B$12:$B$14,MATCH(J28,Assumptions!$A$12:$A$14,0)),0)</f>
        <v>1.95</v>
      </c>
      <c r="M28" s="13" t="n">
        <v>1</v>
      </c>
      <c r="N28" s="14" t="n">
        <f aca="false">K28*L28*M28</f>
        <v>3.12</v>
      </c>
      <c r="O28" s="14" t="n">
        <f aca="false">N28*I28</f>
        <v>6.24</v>
      </c>
      <c r="P28" s="14" t="n">
        <f aca="false">IFERROR(O28/Assumptions!$B$6*Assumptions!$B$8,0)</f>
        <v>1.11428571428571</v>
      </c>
      <c r="Q28" s="13" t="s">
        <v>106</v>
      </c>
      <c r="R28" s="13" t="s">
        <v>50</v>
      </c>
      <c r="S28" s="15" t="s">
        <v>51</v>
      </c>
      <c r="T28" s="13" t="s">
        <v>143</v>
      </c>
    </row>
    <row r="29" customFormat="false" ht="15" hidden="false" customHeight="true" outlineLevel="0" collapsed="false">
      <c r="A29" s="13" t="n">
        <v>28</v>
      </c>
      <c r="B29" s="13" t="s">
        <v>136</v>
      </c>
      <c r="C29" s="13" t="s">
        <v>122</v>
      </c>
      <c r="D29" s="13" t="s">
        <v>145</v>
      </c>
      <c r="E29" s="13" t="s">
        <v>146</v>
      </c>
      <c r="F29" s="13" t="s">
        <v>48</v>
      </c>
      <c r="G29" s="13" t="s">
        <v>139</v>
      </c>
      <c r="H29" s="13" t="n">
        <v>0.999</v>
      </c>
      <c r="I29" s="13" t="n">
        <v>2</v>
      </c>
      <c r="J29" s="13" t="s">
        <v>17</v>
      </c>
      <c r="K29" s="13" t="n">
        <v>1.8</v>
      </c>
      <c r="L29" s="14" t="n">
        <f aca="false">IFERROR(INDEX(Assumptions!$B$12:$B$14,MATCH(J29,Assumptions!$A$12:$A$14,0)),0)</f>
        <v>1.95</v>
      </c>
      <c r="M29" s="13" t="n">
        <v>1</v>
      </c>
      <c r="N29" s="14" t="n">
        <f aca="false">K29*L29*M29</f>
        <v>3.51</v>
      </c>
      <c r="O29" s="14" t="n">
        <f aca="false">N29*I29</f>
        <v>7.02</v>
      </c>
      <c r="P29" s="14" t="n">
        <f aca="false">IFERROR(O29/Assumptions!$B$6*Assumptions!$B$8,0)</f>
        <v>1.25357142857143</v>
      </c>
      <c r="Q29" s="13" t="s">
        <v>114</v>
      </c>
      <c r="R29" s="13" t="s">
        <v>50</v>
      </c>
      <c r="S29" s="15" t="s">
        <v>51</v>
      </c>
      <c r="T29" s="13" t="s">
        <v>143</v>
      </c>
    </row>
    <row r="30" customFormat="false" ht="15" hidden="false" customHeight="true" outlineLevel="0" collapsed="false">
      <c r="A30" s="13" t="n">
        <v>29</v>
      </c>
      <c r="B30" s="13" t="s">
        <v>136</v>
      </c>
      <c r="C30" s="13" t="s">
        <v>131</v>
      </c>
      <c r="D30" s="13" t="s">
        <v>147</v>
      </c>
      <c r="E30" s="13" t="s">
        <v>148</v>
      </c>
      <c r="F30" s="13" t="s">
        <v>48</v>
      </c>
      <c r="G30" s="13" t="s">
        <v>139</v>
      </c>
      <c r="H30" s="13" t="n">
        <v>0.999</v>
      </c>
      <c r="I30" s="13" t="n">
        <v>2</v>
      </c>
      <c r="J30" s="13" t="s">
        <v>17</v>
      </c>
      <c r="K30" s="13" t="n">
        <v>2.2</v>
      </c>
      <c r="L30" s="14" t="n">
        <f aca="false">IFERROR(INDEX(Assumptions!$B$12:$B$14,MATCH(J30,Assumptions!$A$12:$A$14,0)),0)</f>
        <v>1.95</v>
      </c>
      <c r="M30" s="13" t="n">
        <v>1</v>
      </c>
      <c r="N30" s="14" t="n">
        <f aca="false">K30*L30*M30</f>
        <v>4.29</v>
      </c>
      <c r="O30" s="14" t="n">
        <f aca="false">N30*I30</f>
        <v>8.58</v>
      </c>
      <c r="P30" s="14" t="n">
        <f aca="false">IFERROR(O30/Assumptions!$B$6*Assumptions!$B$8,0)</f>
        <v>1.53214285714286</v>
      </c>
      <c r="Q30" s="13" t="s">
        <v>122</v>
      </c>
      <c r="R30" s="13" t="s">
        <v>50</v>
      </c>
      <c r="S30" s="15" t="s">
        <v>51</v>
      </c>
      <c r="T30" s="13" t="s">
        <v>143</v>
      </c>
    </row>
    <row r="31" customFormat="false" ht="23.25" hidden="false" customHeight="true" outlineLevel="0" collapsed="false">
      <c r="A31" s="13" t="n">
        <v>30</v>
      </c>
      <c r="B31" s="13" t="s">
        <v>136</v>
      </c>
      <c r="C31" s="13" t="s">
        <v>82</v>
      </c>
      <c r="D31" s="13" t="s">
        <v>137</v>
      </c>
      <c r="E31" s="13" t="s">
        <v>138</v>
      </c>
      <c r="F31" s="13" t="s">
        <v>149</v>
      </c>
      <c r="G31" s="13" t="s">
        <v>49</v>
      </c>
      <c r="H31" s="13" t="n">
        <v>0.999</v>
      </c>
      <c r="I31" s="13" t="n">
        <v>2</v>
      </c>
      <c r="J31" s="13" t="s">
        <v>13</v>
      </c>
      <c r="K31" s="13" t="n">
        <v>1</v>
      </c>
      <c r="L31" s="14" t="n">
        <f aca="false">IFERROR(INDEX(Assumptions!$B$12:$B$14,MATCH(J31,Assumptions!$A$12:$A$14,0)),0)</f>
        <v>1</v>
      </c>
      <c r="M31" s="13" t="n">
        <v>1.4</v>
      </c>
      <c r="N31" s="14" t="n">
        <f aca="false">K31*L31*M31</f>
        <v>1.4</v>
      </c>
      <c r="O31" s="14" t="n">
        <f aca="false">N31*I31</f>
        <v>2.8</v>
      </c>
      <c r="P31" s="14" t="n">
        <f aca="false">IFERROR(O31/Assumptions!$B$6*Assumptions!$B$8,0)</f>
        <v>0.5</v>
      </c>
      <c r="Q31" s="13" t="s">
        <v>50</v>
      </c>
      <c r="R31" s="13" t="s">
        <v>50</v>
      </c>
      <c r="S31" s="15" t="s">
        <v>51</v>
      </c>
      <c r="T31" s="13" t="s">
        <v>150</v>
      </c>
    </row>
    <row r="32" customFormat="false" ht="15" hidden="false" customHeight="true" outlineLevel="0" collapsed="false">
      <c r="A32" s="13" t="n">
        <v>31</v>
      </c>
      <c r="B32" s="13" t="s">
        <v>136</v>
      </c>
      <c r="C32" s="13" t="s">
        <v>106</v>
      </c>
      <c r="D32" s="13" t="s">
        <v>141</v>
      </c>
      <c r="E32" s="13" t="s">
        <v>142</v>
      </c>
      <c r="F32" s="13" t="s">
        <v>149</v>
      </c>
      <c r="G32" s="13" t="s">
        <v>49</v>
      </c>
      <c r="H32" s="13" t="n">
        <v>0.999</v>
      </c>
      <c r="I32" s="13" t="n">
        <v>2</v>
      </c>
      <c r="J32" s="13" t="s">
        <v>15</v>
      </c>
      <c r="K32" s="13" t="n">
        <v>1</v>
      </c>
      <c r="L32" s="14" t="n">
        <f aca="false">IFERROR(INDEX(Assumptions!$B$12:$B$14,MATCH(J32,Assumptions!$A$12:$A$14,0)),0)</f>
        <v>0.95</v>
      </c>
      <c r="M32" s="13" t="n">
        <v>1.4</v>
      </c>
      <c r="N32" s="14" t="n">
        <f aca="false">K32*L32*M32</f>
        <v>1.33</v>
      </c>
      <c r="O32" s="14" t="n">
        <f aca="false">N32*I32</f>
        <v>2.66</v>
      </c>
      <c r="P32" s="14" t="n">
        <f aca="false">IFERROR(O32/Assumptions!$B$6*Assumptions!$B$8,0)</f>
        <v>0.475</v>
      </c>
      <c r="Q32" s="13" t="s">
        <v>82</v>
      </c>
      <c r="R32" s="13" t="s">
        <v>50</v>
      </c>
      <c r="S32" s="15" t="s">
        <v>51</v>
      </c>
      <c r="T32" s="13" t="s">
        <v>143</v>
      </c>
    </row>
    <row r="33" customFormat="false" ht="15" hidden="false" customHeight="true" outlineLevel="0" collapsed="false">
      <c r="A33" s="13" t="n">
        <v>32</v>
      </c>
      <c r="B33" s="13" t="s">
        <v>136</v>
      </c>
      <c r="C33" s="13" t="s">
        <v>114</v>
      </c>
      <c r="D33" s="13" t="s">
        <v>115</v>
      </c>
      <c r="E33" s="13" t="s">
        <v>144</v>
      </c>
      <c r="F33" s="13" t="s">
        <v>149</v>
      </c>
      <c r="G33" s="13" t="s">
        <v>49</v>
      </c>
      <c r="H33" s="13" t="n">
        <v>0.999</v>
      </c>
      <c r="I33" s="13" t="n">
        <v>2</v>
      </c>
      <c r="J33" s="13" t="s">
        <v>17</v>
      </c>
      <c r="K33" s="13" t="n">
        <v>1.6</v>
      </c>
      <c r="L33" s="14" t="n">
        <f aca="false">IFERROR(INDEX(Assumptions!$B$12:$B$14,MATCH(J33,Assumptions!$A$12:$A$14,0)),0)</f>
        <v>1.95</v>
      </c>
      <c r="M33" s="13" t="n">
        <v>1.4</v>
      </c>
      <c r="N33" s="14" t="n">
        <f aca="false">K33*L33*M33</f>
        <v>4.368</v>
      </c>
      <c r="O33" s="14" t="n">
        <f aca="false">N33*I33</f>
        <v>8.736</v>
      </c>
      <c r="P33" s="14" t="n">
        <f aca="false">IFERROR(O33/Assumptions!$B$6*Assumptions!$B$8,0)</f>
        <v>1.56</v>
      </c>
      <c r="Q33" s="13" t="s">
        <v>106</v>
      </c>
      <c r="R33" s="13" t="s">
        <v>50</v>
      </c>
      <c r="S33" s="15" t="s">
        <v>51</v>
      </c>
      <c r="T33" s="13" t="s">
        <v>143</v>
      </c>
    </row>
    <row r="34" customFormat="false" ht="15" hidden="false" customHeight="true" outlineLevel="0" collapsed="false">
      <c r="A34" s="13" t="n">
        <v>33</v>
      </c>
      <c r="B34" s="13" t="s">
        <v>136</v>
      </c>
      <c r="C34" s="13" t="s">
        <v>122</v>
      </c>
      <c r="D34" s="13" t="s">
        <v>145</v>
      </c>
      <c r="E34" s="13" t="s">
        <v>146</v>
      </c>
      <c r="F34" s="13" t="s">
        <v>149</v>
      </c>
      <c r="G34" s="13" t="s">
        <v>49</v>
      </c>
      <c r="H34" s="13" t="n">
        <v>0.999</v>
      </c>
      <c r="I34" s="13" t="n">
        <v>2</v>
      </c>
      <c r="J34" s="13" t="s">
        <v>17</v>
      </c>
      <c r="K34" s="13" t="n">
        <v>1.8</v>
      </c>
      <c r="L34" s="14" t="n">
        <f aca="false">IFERROR(INDEX(Assumptions!$B$12:$B$14,MATCH(J34,Assumptions!$A$12:$A$14,0)),0)</f>
        <v>1.95</v>
      </c>
      <c r="M34" s="13" t="n">
        <v>1.4</v>
      </c>
      <c r="N34" s="14" t="n">
        <f aca="false">K34*L34*M34</f>
        <v>4.914</v>
      </c>
      <c r="O34" s="14" t="n">
        <f aca="false">N34*I34</f>
        <v>9.828</v>
      </c>
      <c r="P34" s="14" t="n">
        <f aca="false">IFERROR(O34/Assumptions!$B$6*Assumptions!$B$8,0)</f>
        <v>1.755</v>
      </c>
      <c r="Q34" s="13" t="s">
        <v>114</v>
      </c>
      <c r="R34" s="13" t="s">
        <v>50</v>
      </c>
      <c r="S34" s="15" t="s">
        <v>51</v>
      </c>
      <c r="T34" s="13" t="s">
        <v>143</v>
      </c>
    </row>
    <row r="35" customFormat="false" ht="15" hidden="false" customHeight="true" outlineLevel="0" collapsed="false">
      <c r="A35" s="13" t="n">
        <v>34</v>
      </c>
      <c r="B35" s="13" t="s">
        <v>136</v>
      </c>
      <c r="C35" s="13" t="s">
        <v>131</v>
      </c>
      <c r="D35" s="13" t="s">
        <v>147</v>
      </c>
      <c r="E35" s="13" t="s">
        <v>148</v>
      </c>
      <c r="F35" s="13" t="s">
        <v>149</v>
      </c>
      <c r="G35" s="13" t="s">
        <v>49</v>
      </c>
      <c r="H35" s="13" t="n">
        <v>0.999</v>
      </c>
      <c r="I35" s="13" t="n">
        <v>2</v>
      </c>
      <c r="J35" s="13" t="s">
        <v>17</v>
      </c>
      <c r="K35" s="13" t="n">
        <v>2.2</v>
      </c>
      <c r="L35" s="14" t="n">
        <f aca="false">IFERROR(INDEX(Assumptions!$B$12:$B$14,MATCH(J35,Assumptions!$A$12:$A$14,0)),0)</f>
        <v>1.95</v>
      </c>
      <c r="M35" s="13" t="n">
        <v>1.4</v>
      </c>
      <c r="N35" s="14" t="n">
        <f aca="false">K35*L35*M35</f>
        <v>6.006</v>
      </c>
      <c r="O35" s="14" t="n">
        <f aca="false">N35*I35</f>
        <v>12.012</v>
      </c>
      <c r="P35" s="14" t="n">
        <f aca="false">IFERROR(O35/Assumptions!$B$6*Assumptions!$B$8,0)</f>
        <v>2.145</v>
      </c>
      <c r="Q35" s="13" t="s">
        <v>122</v>
      </c>
      <c r="R35" s="13" t="s">
        <v>50</v>
      </c>
      <c r="S35" s="15" t="s">
        <v>51</v>
      </c>
      <c r="T35" s="13" t="s">
        <v>143</v>
      </c>
    </row>
    <row r="36" customFormat="false" ht="15" hidden="false" customHeight="true" outlineLevel="0" collapsed="false">
      <c r="A36" s="13" t="n">
        <v>35</v>
      </c>
      <c r="B36" s="13" t="s">
        <v>136</v>
      </c>
      <c r="C36" s="13" t="s">
        <v>82</v>
      </c>
      <c r="D36" s="13" t="s">
        <v>137</v>
      </c>
      <c r="E36" s="13" t="s">
        <v>138</v>
      </c>
      <c r="F36" s="13" t="s">
        <v>48</v>
      </c>
      <c r="G36" s="13" t="s">
        <v>151</v>
      </c>
      <c r="H36" s="13" t="n">
        <v>0.999</v>
      </c>
      <c r="I36" s="13" t="n">
        <v>2</v>
      </c>
      <c r="J36" s="13" t="s">
        <v>13</v>
      </c>
      <c r="K36" s="13" t="n">
        <v>1</v>
      </c>
      <c r="L36" s="14" t="n">
        <f aca="false">IFERROR(INDEX(Assumptions!$B$12:$B$14,MATCH(J36,Assumptions!$A$12:$A$14,0)),0)</f>
        <v>1</v>
      </c>
      <c r="M36" s="13" t="n">
        <v>1.5</v>
      </c>
      <c r="N36" s="14" t="n">
        <f aca="false">K36*L36*M36</f>
        <v>1.5</v>
      </c>
      <c r="O36" s="14" t="n">
        <f aca="false">N36*I36</f>
        <v>3</v>
      </c>
      <c r="P36" s="14" t="n">
        <f aca="false">IFERROR(O36/Assumptions!$B$6*Assumptions!$B$8,0)</f>
        <v>0.535714285714286</v>
      </c>
      <c r="Q36" s="13" t="s">
        <v>50</v>
      </c>
      <c r="R36" s="13" t="s">
        <v>50</v>
      </c>
      <c r="S36" s="15" t="s">
        <v>51</v>
      </c>
      <c r="T36" s="13" t="s">
        <v>152</v>
      </c>
    </row>
    <row r="37" customFormat="false" ht="15" hidden="false" customHeight="true" outlineLevel="0" collapsed="false">
      <c r="A37" s="13" t="n">
        <v>36</v>
      </c>
      <c r="B37" s="13" t="s">
        <v>136</v>
      </c>
      <c r="C37" s="13" t="s">
        <v>106</v>
      </c>
      <c r="D37" s="13" t="s">
        <v>141</v>
      </c>
      <c r="E37" s="13" t="s">
        <v>142</v>
      </c>
      <c r="F37" s="13" t="s">
        <v>48</v>
      </c>
      <c r="G37" s="13" t="s">
        <v>151</v>
      </c>
      <c r="H37" s="13" t="n">
        <v>0.999</v>
      </c>
      <c r="I37" s="13" t="n">
        <v>2</v>
      </c>
      <c r="J37" s="13" t="s">
        <v>15</v>
      </c>
      <c r="K37" s="13" t="n">
        <v>1</v>
      </c>
      <c r="L37" s="14" t="n">
        <f aca="false">IFERROR(INDEX(Assumptions!$B$12:$B$14,MATCH(J37,Assumptions!$A$12:$A$14,0)),0)</f>
        <v>0.95</v>
      </c>
      <c r="M37" s="13" t="n">
        <v>1.5</v>
      </c>
      <c r="N37" s="14" t="n">
        <f aca="false">K37*L37*M37</f>
        <v>1.425</v>
      </c>
      <c r="O37" s="14" t="n">
        <f aca="false">N37*I37</f>
        <v>2.85</v>
      </c>
      <c r="P37" s="14" t="n">
        <f aca="false">IFERROR(O37/Assumptions!$B$6*Assumptions!$B$8,0)</f>
        <v>0.508928571428571</v>
      </c>
      <c r="Q37" s="13" t="s">
        <v>82</v>
      </c>
      <c r="R37" s="13" t="s">
        <v>50</v>
      </c>
      <c r="S37" s="15" t="s">
        <v>51</v>
      </c>
      <c r="T37" s="13" t="s">
        <v>143</v>
      </c>
    </row>
    <row r="38" customFormat="false" ht="15" hidden="false" customHeight="true" outlineLevel="0" collapsed="false">
      <c r="A38" s="13" t="n">
        <v>37</v>
      </c>
      <c r="B38" s="13" t="s">
        <v>136</v>
      </c>
      <c r="C38" s="13" t="s">
        <v>114</v>
      </c>
      <c r="D38" s="13" t="s">
        <v>115</v>
      </c>
      <c r="E38" s="13" t="s">
        <v>144</v>
      </c>
      <c r="F38" s="13" t="s">
        <v>48</v>
      </c>
      <c r="G38" s="13" t="s">
        <v>151</v>
      </c>
      <c r="H38" s="13" t="n">
        <v>0.999</v>
      </c>
      <c r="I38" s="13" t="n">
        <v>2</v>
      </c>
      <c r="J38" s="13" t="s">
        <v>17</v>
      </c>
      <c r="K38" s="13" t="n">
        <v>1.6</v>
      </c>
      <c r="L38" s="14" t="n">
        <f aca="false">IFERROR(INDEX(Assumptions!$B$12:$B$14,MATCH(J38,Assumptions!$A$12:$A$14,0)),0)</f>
        <v>1.95</v>
      </c>
      <c r="M38" s="13" t="n">
        <v>1.5</v>
      </c>
      <c r="N38" s="14" t="n">
        <f aca="false">K38*L38*M38</f>
        <v>4.68</v>
      </c>
      <c r="O38" s="14" t="n">
        <f aca="false">N38*I38</f>
        <v>9.36</v>
      </c>
      <c r="P38" s="14" t="n">
        <f aca="false">IFERROR(O38/Assumptions!$B$6*Assumptions!$B$8,0)</f>
        <v>1.67142857142857</v>
      </c>
      <c r="Q38" s="13" t="s">
        <v>106</v>
      </c>
      <c r="R38" s="13" t="s">
        <v>50</v>
      </c>
      <c r="S38" s="15" t="s">
        <v>51</v>
      </c>
      <c r="T38" s="13" t="s">
        <v>143</v>
      </c>
    </row>
    <row r="39" customFormat="false" ht="15" hidden="false" customHeight="true" outlineLevel="0" collapsed="false">
      <c r="A39" s="13" t="n">
        <v>38</v>
      </c>
      <c r="B39" s="13" t="s">
        <v>136</v>
      </c>
      <c r="C39" s="13" t="s">
        <v>122</v>
      </c>
      <c r="D39" s="13" t="s">
        <v>145</v>
      </c>
      <c r="E39" s="13" t="s">
        <v>146</v>
      </c>
      <c r="F39" s="13" t="s">
        <v>48</v>
      </c>
      <c r="G39" s="13" t="s">
        <v>151</v>
      </c>
      <c r="H39" s="13" t="n">
        <v>0.999</v>
      </c>
      <c r="I39" s="13" t="n">
        <v>2</v>
      </c>
      <c r="J39" s="13" t="s">
        <v>17</v>
      </c>
      <c r="K39" s="13" t="n">
        <v>1.8</v>
      </c>
      <c r="L39" s="14" t="n">
        <f aca="false">IFERROR(INDEX(Assumptions!$B$12:$B$14,MATCH(J39,Assumptions!$A$12:$A$14,0)),0)</f>
        <v>1.95</v>
      </c>
      <c r="M39" s="13" t="n">
        <v>1.5</v>
      </c>
      <c r="N39" s="14" t="n">
        <f aca="false">K39*L39*M39</f>
        <v>5.265</v>
      </c>
      <c r="O39" s="14" t="n">
        <f aca="false">N39*I39</f>
        <v>10.53</v>
      </c>
      <c r="P39" s="14" t="n">
        <f aca="false">IFERROR(O39/Assumptions!$B$6*Assumptions!$B$8,0)</f>
        <v>1.88035714285714</v>
      </c>
      <c r="Q39" s="13" t="s">
        <v>114</v>
      </c>
      <c r="R39" s="13" t="s">
        <v>50</v>
      </c>
      <c r="S39" s="15" t="s">
        <v>51</v>
      </c>
      <c r="T39" s="13" t="s">
        <v>143</v>
      </c>
    </row>
    <row r="40" customFormat="false" ht="15" hidden="false" customHeight="true" outlineLevel="0" collapsed="false">
      <c r="A40" s="13" t="n">
        <v>39</v>
      </c>
      <c r="B40" s="13" t="s">
        <v>136</v>
      </c>
      <c r="C40" s="13" t="s">
        <v>131</v>
      </c>
      <c r="D40" s="13" t="s">
        <v>147</v>
      </c>
      <c r="E40" s="13" t="s">
        <v>148</v>
      </c>
      <c r="F40" s="13" t="s">
        <v>48</v>
      </c>
      <c r="G40" s="13" t="s">
        <v>151</v>
      </c>
      <c r="H40" s="13" t="n">
        <v>0.999</v>
      </c>
      <c r="I40" s="13" t="n">
        <v>2</v>
      </c>
      <c r="J40" s="13" t="s">
        <v>17</v>
      </c>
      <c r="K40" s="13" t="n">
        <v>2.2</v>
      </c>
      <c r="L40" s="14" t="n">
        <f aca="false">IFERROR(INDEX(Assumptions!$B$12:$B$14,MATCH(J40,Assumptions!$A$12:$A$14,0)),0)</f>
        <v>1.95</v>
      </c>
      <c r="M40" s="13" t="n">
        <v>1.5</v>
      </c>
      <c r="N40" s="14" t="n">
        <f aca="false">K40*L40*M40</f>
        <v>6.435</v>
      </c>
      <c r="O40" s="14" t="n">
        <f aca="false">N40*I40</f>
        <v>12.87</v>
      </c>
      <c r="P40" s="14" t="n">
        <f aca="false">IFERROR(O40/Assumptions!$B$6*Assumptions!$B$8,0)</f>
        <v>2.29821428571429</v>
      </c>
      <c r="Q40" s="13" t="s">
        <v>122</v>
      </c>
      <c r="R40" s="13" t="s">
        <v>50</v>
      </c>
      <c r="S40" s="15" t="s">
        <v>51</v>
      </c>
      <c r="T40" s="13" t="s">
        <v>143</v>
      </c>
    </row>
    <row r="41" customFormat="false" ht="27.75" hidden="false" customHeight="true" outlineLevel="0" collapsed="false">
      <c r="A41" s="12" t="s">
        <v>153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customFormat="false" ht="23.25" hidden="false" customHeight="true" outlineLevel="0" collapsed="false">
      <c r="A42" s="13" t="n">
        <v>41</v>
      </c>
      <c r="B42" s="13" t="s">
        <v>154</v>
      </c>
      <c r="C42" s="13" t="s">
        <v>155</v>
      </c>
      <c r="D42" s="13" t="s">
        <v>156</v>
      </c>
      <c r="E42" s="13" t="s">
        <v>157</v>
      </c>
      <c r="F42" s="13" t="s">
        <v>48</v>
      </c>
      <c r="G42" s="13" t="s">
        <v>49</v>
      </c>
      <c r="H42" s="13" t="n">
        <v>0.999</v>
      </c>
      <c r="I42" s="13" t="n">
        <v>5</v>
      </c>
      <c r="J42" s="13" t="s">
        <v>17</v>
      </c>
      <c r="K42" s="13" t="n">
        <v>2.2</v>
      </c>
      <c r="L42" s="14" t="n">
        <f aca="false">IFERROR(INDEX(Assumptions!$B$12:$B$14,MATCH(J42,Assumptions!$A$12:$A$14,0)),0)</f>
        <v>1.95</v>
      </c>
      <c r="M42" s="13" t="n">
        <v>1</v>
      </c>
      <c r="N42" s="14" t="n">
        <f aca="false">K42*L42*M42</f>
        <v>4.29</v>
      </c>
      <c r="O42" s="14" t="n">
        <f aca="false">N42*I42</f>
        <v>21.45</v>
      </c>
      <c r="P42" s="14" t="n">
        <f aca="false">IFERROR(O42/Assumptions!$B$6*Assumptions!$B$8,0)</f>
        <v>3.83035714285714</v>
      </c>
      <c r="Q42" s="13" t="s">
        <v>131</v>
      </c>
      <c r="R42" s="13" t="s">
        <v>50</v>
      </c>
      <c r="S42" s="15" t="s">
        <v>158</v>
      </c>
      <c r="T42" s="13" t="s">
        <v>159</v>
      </c>
    </row>
    <row r="43" customFormat="false" ht="23.25" hidden="false" customHeight="true" outlineLevel="0" collapsed="false">
      <c r="A43" s="13" t="n">
        <v>42</v>
      </c>
      <c r="B43" s="13" t="s">
        <v>154</v>
      </c>
      <c r="C43" s="13" t="s">
        <v>160</v>
      </c>
      <c r="D43" s="13" t="s">
        <v>161</v>
      </c>
      <c r="E43" s="13" t="s">
        <v>162</v>
      </c>
      <c r="F43" s="13" t="s">
        <v>48</v>
      </c>
      <c r="G43" s="13" t="s">
        <v>49</v>
      </c>
      <c r="H43" s="13" t="n">
        <v>0.999</v>
      </c>
      <c r="I43" s="13" t="n">
        <v>5</v>
      </c>
      <c r="J43" s="13" t="s">
        <v>17</v>
      </c>
      <c r="K43" s="13" t="n">
        <v>2.2</v>
      </c>
      <c r="L43" s="14" t="n">
        <f aca="false">IFERROR(INDEX(Assumptions!$B$12:$B$14,MATCH(J43,Assumptions!$A$12:$A$14,0)),0)</f>
        <v>1.95</v>
      </c>
      <c r="M43" s="13" t="n">
        <v>1</v>
      </c>
      <c r="N43" s="14" t="n">
        <f aca="false">K43*L43*M43</f>
        <v>4.29</v>
      </c>
      <c r="O43" s="14" t="n">
        <f aca="false">N43*I43</f>
        <v>21.45</v>
      </c>
      <c r="P43" s="14" t="n">
        <f aca="false">IFERROR(O43/Assumptions!$B$6*Assumptions!$B$8,0)</f>
        <v>3.83035714285714</v>
      </c>
      <c r="Q43" s="13" t="s">
        <v>131</v>
      </c>
      <c r="R43" s="13" t="s">
        <v>50</v>
      </c>
      <c r="S43" s="15" t="s">
        <v>158</v>
      </c>
      <c r="T43" s="13" t="s">
        <v>163</v>
      </c>
    </row>
    <row r="44" customFormat="false" ht="23.25" hidden="false" customHeight="true" outlineLevel="0" collapsed="false">
      <c r="A44" s="13" t="n">
        <v>43</v>
      </c>
      <c r="B44" s="13" t="s">
        <v>154</v>
      </c>
      <c r="C44" s="13" t="s">
        <v>164</v>
      </c>
      <c r="D44" s="13" t="s">
        <v>165</v>
      </c>
      <c r="E44" s="13" t="s">
        <v>166</v>
      </c>
      <c r="F44" s="13" t="s">
        <v>48</v>
      </c>
      <c r="G44" s="13" t="s">
        <v>49</v>
      </c>
      <c r="H44" s="13" t="n">
        <v>0.95</v>
      </c>
      <c r="I44" s="13" t="n">
        <v>2</v>
      </c>
      <c r="J44" s="13" t="s">
        <v>15</v>
      </c>
      <c r="K44" s="13" t="n">
        <v>1</v>
      </c>
      <c r="L44" s="14" t="n">
        <f aca="false">IFERROR(INDEX(Assumptions!$B$12:$B$14,MATCH(J44,Assumptions!$A$12:$A$14,0)),0)</f>
        <v>0.95</v>
      </c>
      <c r="M44" s="13" t="n">
        <v>1</v>
      </c>
      <c r="N44" s="14" t="n">
        <f aca="false">K44*L44*M44</f>
        <v>0.95</v>
      </c>
      <c r="O44" s="14" t="n">
        <f aca="false">N44*I44</f>
        <v>1.9</v>
      </c>
      <c r="P44" s="14" t="n">
        <f aca="false">IFERROR(O44/Assumptions!$B$6*Assumptions!$B$8,0)</f>
        <v>0.339285714285714</v>
      </c>
      <c r="Q44" s="13" t="s">
        <v>167</v>
      </c>
      <c r="R44" s="13" t="s">
        <v>50</v>
      </c>
      <c r="S44" s="15" t="s">
        <v>158</v>
      </c>
      <c r="T44" s="13" t="s">
        <v>168</v>
      </c>
    </row>
    <row r="45" customFormat="false" ht="23.25" hidden="false" customHeight="true" outlineLevel="0" collapsed="false">
      <c r="A45" s="13" t="n">
        <v>44</v>
      </c>
      <c r="B45" s="13" t="s">
        <v>154</v>
      </c>
      <c r="C45" s="13" t="s">
        <v>169</v>
      </c>
      <c r="D45" s="13" t="s">
        <v>165</v>
      </c>
      <c r="E45" s="13" t="s">
        <v>166</v>
      </c>
      <c r="F45" s="13" t="s">
        <v>48</v>
      </c>
      <c r="G45" s="13" t="s">
        <v>49</v>
      </c>
      <c r="H45" s="13" t="n">
        <v>0.95</v>
      </c>
      <c r="I45" s="13" t="n">
        <v>2</v>
      </c>
      <c r="J45" s="13" t="s">
        <v>17</v>
      </c>
      <c r="K45" s="13" t="n">
        <v>1.6</v>
      </c>
      <c r="L45" s="14" t="n">
        <f aca="false">IFERROR(INDEX(Assumptions!$B$12:$B$14,MATCH(J45,Assumptions!$A$12:$A$14,0)),0)</f>
        <v>1.95</v>
      </c>
      <c r="M45" s="13" t="n">
        <v>1</v>
      </c>
      <c r="N45" s="14" t="n">
        <f aca="false">K45*L45*M45</f>
        <v>3.12</v>
      </c>
      <c r="O45" s="14" t="n">
        <f aca="false">N45*I45</f>
        <v>6.24</v>
      </c>
      <c r="P45" s="14" t="n">
        <f aca="false">IFERROR(O45/Assumptions!$B$6*Assumptions!$B$8,0)</f>
        <v>1.11428571428571</v>
      </c>
      <c r="Q45" s="13" t="s">
        <v>167</v>
      </c>
      <c r="R45" s="13" t="s">
        <v>50</v>
      </c>
      <c r="S45" s="15" t="s">
        <v>158</v>
      </c>
      <c r="T45" s="13" t="s">
        <v>168</v>
      </c>
    </row>
    <row r="46" customFormat="false" ht="23.25" hidden="false" customHeight="true" outlineLevel="0" collapsed="false">
      <c r="A46" s="13" t="n">
        <v>45</v>
      </c>
      <c r="B46" s="13" t="s">
        <v>154</v>
      </c>
      <c r="C46" s="13" t="s">
        <v>170</v>
      </c>
      <c r="D46" s="13" t="s">
        <v>165</v>
      </c>
      <c r="E46" s="13" t="s">
        <v>166</v>
      </c>
      <c r="F46" s="13" t="s">
        <v>48</v>
      </c>
      <c r="G46" s="13" t="s">
        <v>49</v>
      </c>
      <c r="H46" s="13" t="n">
        <v>0.95</v>
      </c>
      <c r="I46" s="13" t="n">
        <v>2</v>
      </c>
      <c r="J46" s="13" t="s">
        <v>17</v>
      </c>
      <c r="K46" s="13" t="n">
        <v>1.8</v>
      </c>
      <c r="L46" s="14" t="n">
        <f aca="false">IFERROR(INDEX(Assumptions!$B$12:$B$14,MATCH(J46,Assumptions!$A$12:$A$14,0)),0)</f>
        <v>1.95</v>
      </c>
      <c r="M46" s="13" t="n">
        <v>1</v>
      </c>
      <c r="N46" s="14" t="n">
        <f aca="false">K46*L46*M46</f>
        <v>3.51</v>
      </c>
      <c r="O46" s="14" t="n">
        <f aca="false">N46*I46</f>
        <v>7.02</v>
      </c>
      <c r="P46" s="14" t="n">
        <f aca="false">IFERROR(O46/Assumptions!$B$6*Assumptions!$B$8,0)</f>
        <v>1.25357142857143</v>
      </c>
      <c r="Q46" s="13" t="s">
        <v>167</v>
      </c>
      <c r="R46" s="13" t="s">
        <v>50</v>
      </c>
      <c r="S46" s="15" t="s">
        <v>158</v>
      </c>
      <c r="T46" s="13" t="s">
        <v>168</v>
      </c>
    </row>
    <row r="47" customFormat="false" ht="23.25" hidden="false" customHeight="true" outlineLevel="0" collapsed="false">
      <c r="A47" s="13" t="n">
        <v>46</v>
      </c>
      <c r="B47" s="13" t="s">
        <v>154</v>
      </c>
      <c r="C47" s="13" t="s">
        <v>171</v>
      </c>
      <c r="D47" s="13" t="s">
        <v>165</v>
      </c>
      <c r="E47" s="13" t="s">
        <v>166</v>
      </c>
      <c r="F47" s="13" t="s">
        <v>48</v>
      </c>
      <c r="G47" s="13" t="s">
        <v>49</v>
      </c>
      <c r="H47" s="13" t="n">
        <v>0.95</v>
      </c>
      <c r="I47" s="13" t="n">
        <v>2</v>
      </c>
      <c r="J47" s="13" t="s">
        <v>17</v>
      </c>
      <c r="K47" s="13" t="n">
        <v>2.2</v>
      </c>
      <c r="L47" s="14" t="n">
        <f aca="false">IFERROR(INDEX(Assumptions!$B$12:$B$14,MATCH(J47,Assumptions!$A$12:$A$14,0)),0)</f>
        <v>1.95</v>
      </c>
      <c r="M47" s="13" t="n">
        <v>1</v>
      </c>
      <c r="N47" s="14" t="n">
        <f aca="false">K47*L47*M47</f>
        <v>4.29</v>
      </c>
      <c r="O47" s="14" t="n">
        <f aca="false">N47*I47</f>
        <v>8.58</v>
      </c>
      <c r="P47" s="14" t="n">
        <f aca="false">IFERROR(O47/Assumptions!$B$6*Assumptions!$B$8,0)</f>
        <v>1.53214285714286</v>
      </c>
      <c r="Q47" s="13" t="s">
        <v>167</v>
      </c>
      <c r="R47" s="13" t="s">
        <v>50</v>
      </c>
      <c r="S47" s="15" t="s">
        <v>158</v>
      </c>
      <c r="T47" s="13" t="s">
        <v>168</v>
      </c>
    </row>
    <row r="48" customFormat="false" ht="23.25" hidden="false" customHeight="true" outlineLevel="0" collapsed="false">
      <c r="A48" s="13" t="n">
        <v>47</v>
      </c>
      <c r="B48" s="13" t="s">
        <v>154</v>
      </c>
      <c r="C48" s="13" t="s">
        <v>172</v>
      </c>
      <c r="D48" s="13" t="s">
        <v>165</v>
      </c>
      <c r="E48" s="13" t="s">
        <v>166</v>
      </c>
      <c r="F48" s="13" t="s">
        <v>48</v>
      </c>
      <c r="G48" s="13" t="s">
        <v>49</v>
      </c>
      <c r="H48" s="13" t="n">
        <v>0.99</v>
      </c>
      <c r="I48" s="13" t="n">
        <v>2</v>
      </c>
      <c r="J48" s="13" t="s">
        <v>15</v>
      </c>
      <c r="K48" s="13" t="n">
        <v>1</v>
      </c>
      <c r="L48" s="14" t="n">
        <f aca="false">IFERROR(INDEX(Assumptions!$B$12:$B$14,MATCH(J48,Assumptions!$A$12:$A$14,0)),0)</f>
        <v>0.95</v>
      </c>
      <c r="M48" s="13" t="n">
        <v>1</v>
      </c>
      <c r="N48" s="14" t="n">
        <f aca="false">K48*L48*M48</f>
        <v>0.95</v>
      </c>
      <c r="O48" s="14" t="n">
        <f aca="false">N48*I48</f>
        <v>1.9</v>
      </c>
      <c r="P48" s="14" t="n">
        <f aca="false">IFERROR(O48/Assumptions!$B$6*Assumptions!$B$8,0)</f>
        <v>0.339285714285714</v>
      </c>
      <c r="Q48" s="13" t="s">
        <v>167</v>
      </c>
      <c r="R48" s="13" t="s">
        <v>50</v>
      </c>
      <c r="S48" s="15" t="s">
        <v>158</v>
      </c>
      <c r="T48" s="13" t="s">
        <v>168</v>
      </c>
    </row>
    <row r="49" customFormat="false" ht="23.25" hidden="false" customHeight="true" outlineLevel="0" collapsed="false">
      <c r="A49" s="13" t="n">
        <v>48</v>
      </c>
      <c r="B49" s="13" t="s">
        <v>154</v>
      </c>
      <c r="C49" s="13" t="s">
        <v>173</v>
      </c>
      <c r="D49" s="13" t="s">
        <v>165</v>
      </c>
      <c r="E49" s="13" t="s">
        <v>166</v>
      </c>
      <c r="F49" s="13" t="s">
        <v>48</v>
      </c>
      <c r="G49" s="13" t="s">
        <v>49</v>
      </c>
      <c r="H49" s="13" t="n">
        <v>0.99</v>
      </c>
      <c r="I49" s="13" t="n">
        <v>2</v>
      </c>
      <c r="J49" s="13" t="s">
        <v>17</v>
      </c>
      <c r="K49" s="13" t="n">
        <v>1.6</v>
      </c>
      <c r="L49" s="14" t="n">
        <f aca="false">IFERROR(INDEX(Assumptions!$B$12:$B$14,MATCH(J49,Assumptions!$A$12:$A$14,0)),0)</f>
        <v>1.95</v>
      </c>
      <c r="M49" s="13" t="n">
        <v>1</v>
      </c>
      <c r="N49" s="14" t="n">
        <f aca="false">K49*L49*M49</f>
        <v>3.12</v>
      </c>
      <c r="O49" s="14" t="n">
        <f aca="false">N49*I49</f>
        <v>6.24</v>
      </c>
      <c r="P49" s="14" t="n">
        <f aca="false">IFERROR(O49/Assumptions!$B$6*Assumptions!$B$8,0)</f>
        <v>1.11428571428571</v>
      </c>
      <c r="Q49" s="13" t="s">
        <v>167</v>
      </c>
      <c r="R49" s="13" t="s">
        <v>50</v>
      </c>
      <c r="S49" s="15" t="s">
        <v>158</v>
      </c>
      <c r="T49" s="13" t="s">
        <v>168</v>
      </c>
    </row>
    <row r="50" customFormat="false" ht="23.25" hidden="false" customHeight="true" outlineLevel="0" collapsed="false">
      <c r="A50" s="13" t="n">
        <v>49</v>
      </c>
      <c r="B50" s="13" t="s">
        <v>154</v>
      </c>
      <c r="C50" s="13" t="s">
        <v>174</v>
      </c>
      <c r="D50" s="13" t="s">
        <v>165</v>
      </c>
      <c r="E50" s="13" t="s">
        <v>166</v>
      </c>
      <c r="F50" s="13" t="s">
        <v>48</v>
      </c>
      <c r="G50" s="13" t="s">
        <v>49</v>
      </c>
      <c r="H50" s="13" t="n">
        <v>0.99</v>
      </c>
      <c r="I50" s="13" t="n">
        <v>2</v>
      </c>
      <c r="J50" s="13" t="s">
        <v>17</v>
      </c>
      <c r="K50" s="13" t="n">
        <v>1.8</v>
      </c>
      <c r="L50" s="14" t="n">
        <f aca="false">IFERROR(INDEX(Assumptions!$B$12:$B$14,MATCH(J50,Assumptions!$A$12:$A$14,0)),0)</f>
        <v>1.95</v>
      </c>
      <c r="M50" s="13" t="n">
        <v>1</v>
      </c>
      <c r="N50" s="14" t="n">
        <f aca="false">K50*L50*M50</f>
        <v>3.51</v>
      </c>
      <c r="O50" s="14" t="n">
        <f aca="false">N50*I50</f>
        <v>7.02</v>
      </c>
      <c r="P50" s="14" t="n">
        <f aca="false">IFERROR(O50/Assumptions!$B$6*Assumptions!$B$8,0)</f>
        <v>1.25357142857143</v>
      </c>
      <c r="Q50" s="13" t="s">
        <v>167</v>
      </c>
      <c r="R50" s="13" t="s">
        <v>50</v>
      </c>
      <c r="S50" s="15" t="s">
        <v>158</v>
      </c>
      <c r="T50" s="13" t="s">
        <v>168</v>
      </c>
    </row>
    <row r="51" customFormat="false" ht="23.25" hidden="false" customHeight="true" outlineLevel="0" collapsed="false">
      <c r="A51" s="13" t="n">
        <v>50</v>
      </c>
      <c r="B51" s="13" t="s">
        <v>154</v>
      </c>
      <c r="C51" s="13" t="s">
        <v>175</v>
      </c>
      <c r="D51" s="13" t="s">
        <v>165</v>
      </c>
      <c r="E51" s="13" t="s">
        <v>166</v>
      </c>
      <c r="F51" s="13" t="s">
        <v>48</v>
      </c>
      <c r="G51" s="13" t="s">
        <v>49</v>
      </c>
      <c r="H51" s="13" t="n">
        <v>0.99</v>
      </c>
      <c r="I51" s="13" t="n">
        <v>2</v>
      </c>
      <c r="J51" s="13" t="s">
        <v>17</v>
      </c>
      <c r="K51" s="13" t="n">
        <v>2.2</v>
      </c>
      <c r="L51" s="14" t="n">
        <f aca="false">IFERROR(INDEX(Assumptions!$B$12:$B$14,MATCH(J51,Assumptions!$A$12:$A$14,0)),0)</f>
        <v>1.95</v>
      </c>
      <c r="M51" s="13" t="n">
        <v>1</v>
      </c>
      <c r="N51" s="14" t="n">
        <f aca="false">K51*L51*M51</f>
        <v>4.29</v>
      </c>
      <c r="O51" s="14" t="n">
        <f aca="false">N51*I51</f>
        <v>8.58</v>
      </c>
      <c r="P51" s="14" t="n">
        <f aca="false">IFERROR(O51/Assumptions!$B$6*Assumptions!$B$8,0)</f>
        <v>1.53214285714286</v>
      </c>
      <c r="Q51" s="13" t="s">
        <v>167</v>
      </c>
      <c r="R51" s="13" t="s">
        <v>50</v>
      </c>
      <c r="S51" s="15" t="s">
        <v>158</v>
      </c>
      <c r="T51" s="13" t="s">
        <v>168</v>
      </c>
    </row>
    <row r="52" customFormat="false" ht="27.75" hidden="false" customHeight="true" outlineLevel="0" collapsed="false">
      <c r="A52" s="12" t="s">
        <v>176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customFormat="false" ht="23.25" hidden="false" customHeight="true" outlineLevel="0" collapsed="false">
      <c r="A53" s="16" t="n">
        <v>52</v>
      </c>
      <c r="B53" s="16" t="s">
        <v>177</v>
      </c>
      <c r="C53" s="16" t="s">
        <v>178</v>
      </c>
      <c r="D53" s="16" t="s">
        <v>179</v>
      </c>
      <c r="E53" s="16" t="s">
        <v>50</v>
      </c>
      <c r="F53" s="16" t="s">
        <v>48</v>
      </c>
      <c r="G53" s="16" t="s">
        <v>49</v>
      </c>
      <c r="H53" s="16" t="s">
        <v>50</v>
      </c>
      <c r="I53" s="16" t="n">
        <v>0</v>
      </c>
      <c r="J53" s="16" t="s">
        <v>50</v>
      </c>
      <c r="K53" s="16" t="n">
        <v>0</v>
      </c>
      <c r="L53" s="17" t="n">
        <f aca="false">IFERROR(INDEX(Assumptions!$B$12:$B$14,MATCH(J53,Assumptions!$A$12:$A$14,0)),0)</f>
        <v>0</v>
      </c>
      <c r="M53" s="16" t="n">
        <v>0</v>
      </c>
      <c r="N53" s="17" t="n">
        <f aca="false">K53*L53*M53</f>
        <v>0</v>
      </c>
      <c r="O53" s="17" t="n">
        <f aca="false">N53*I53</f>
        <v>0</v>
      </c>
      <c r="P53" s="17" t="n">
        <f aca="false">IFERROR(O53/Assumptions!$B$6*Assumptions!$B$8,0)</f>
        <v>0</v>
      </c>
      <c r="Q53" s="16" t="s">
        <v>50</v>
      </c>
      <c r="R53" s="16" t="s">
        <v>50</v>
      </c>
      <c r="S53" s="16" t="s">
        <v>177</v>
      </c>
      <c r="T53" s="16" t="s">
        <v>180</v>
      </c>
    </row>
    <row r="54" customFormat="false" ht="23.25" hidden="false" customHeight="true" outlineLevel="0" collapsed="false">
      <c r="A54" s="16" t="n">
        <v>53</v>
      </c>
      <c r="B54" s="16" t="s">
        <v>177</v>
      </c>
      <c r="C54" s="16" t="s">
        <v>181</v>
      </c>
      <c r="D54" s="16" t="s">
        <v>182</v>
      </c>
      <c r="E54" s="16" t="s">
        <v>50</v>
      </c>
      <c r="F54" s="16" t="s">
        <v>48</v>
      </c>
      <c r="G54" s="16" t="s">
        <v>49</v>
      </c>
      <c r="H54" s="16" t="s">
        <v>50</v>
      </c>
      <c r="I54" s="16" t="n">
        <v>0</v>
      </c>
      <c r="J54" s="16" t="s">
        <v>50</v>
      </c>
      <c r="K54" s="16" t="n">
        <v>0</v>
      </c>
      <c r="L54" s="17" t="n">
        <f aca="false">IFERROR(INDEX(Assumptions!$B$12:$B$14,MATCH(J54,Assumptions!$A$12:$A$14,0)),0)</f>
        <v>0</v>
      </c>
      <c r="M54" s="16" t="n">
        <v>0</v>
      </c>
      <c r="N54" s="17" t="n">
        <f aca="false">K54*L54*M54</f>
        <v>0</v>
      </c>
      <c r="O54" s="17" t="n">
        <f aca="false">N54*I54</f>
        <v>0</v>
      </c>
      <c r="P54" s="17" t="n">
        <f aca="false">IFERROR(O54/Assumptions!$B$6*Assumptions!$B$8,0)</f>
        <v>0</v>
      </c>
      <c r="Q54" s="16" t="s">
        <v>50</v>
      </c>
      <c r="R54" s="16" t="s">
        <v>50</v>
      </c>
      <c r="S54" s="16" t="s">
        <v>177</v>
      </c>
      <c r="T54" s="16" t="s">
        <v>183</v>
      </c>
    </row>
    <row r="55" customFormat="false" ht="15" hidden="false" customHeight="true" outlineLevel="0" collapsed="false">
      <c r="A55" s="16" t="n">
        <v>54</v>
      </c>
      <c r="B55" s="16" t="s">
        <v>177</v>
      </c>
      <c r="C55" s="16" t="s">
        <v>184</v>
      </c>
      <c r="D55" s="16" t="s">
        <v>185</v>
      </c>
      <c r="E55" s="16" t="s">
        <v>50</v>
      </c>
      <c r="F55" s="16" t="s">
        <v>48</v>
      </c>
      <c r="G55" s="16" t="s">
        <v>49</v>
      </c>
      <c r="H55" s="16" t="s">
        <v>50</v>
      </c>
      <c r="I55" s="16" t="n">
        <v>0</v>
      </c>
      <c r="J55" s="16" t="s">
        <v>50</v>
      </c>
      <c r="K55" s="16" t="n">
        <v>0</v>
      </c>
      <c r="L55" s="17" t="n">
        <f aca="false">IFERROR(INDEX(Assumptions!$B$12:$B$14,MATCH(J55,Assumptions!$A$12:$A$14,0)),0)</f>
        <v>0</v>
      </c>
      <c r="M55" s="16" t="n">
        <v>0</v>
      </c>
      <c r="N55" s="17" t="n">
        <f aca="false">K55*L55*M55</f>
        <v>0</v>
      </c>
      <c r="O55" s="17" t="n">
        <f aca="false">N55*I55</f>
        <v>0</v>
      </c>
      <c r="P55" s="17" t="n">
        <f aca="false">IFERROR(O55/Assumptions!$B$6*Assumptions!$B$8,0)</f>
        <v>0</v>
      </c>
      <c r="Q55" s="16" t="s">
        <v>50</v>
      </c>
      <c r="R55" s="16" t="s">
        <v>50</v>
      </c>
      <c r="S55" s="16" t="s">
        <v>177</v>
      </c>
      <c r="T55" s="16" t="s">
        <v>186</v>
      </c>
    </row>
    <row r="56" customFormat="false" ht="23.25" hidden="false" customHeight="true" outlineLevel="0" collapsed="false">
      <c r="A56" s="16" t="n">
        <v>55</v>
      </c>
      <c r="B56" s="16" t="s">
        <v>177</v>
      </c>
      <c r="C56" s="16" t="s">
        <v>187</v>
      </c>
      <c r="D56" s="16" t="s">
        <v>188</v>
      </c>
      <c r="E56" s="16" t="s">
        <v>50</v>
      </c>
      <c r="F56" s="16" t="s">
        <v>48</v>
      </c>
      <c r="G56" s="16" t="s">
        <v>49</v>
      </c>
      <c r="H56" s="16" t="s">
        <v>50</v>
      </c>
      <c r="I56" s="16" t="n">
        <v>0</v>
      </c>
      <c r="J56" s="16" t="s">
        <v>50</v>
      </c>
      <c r="K56" s="16" t="n">
        <v>0</v>
      </c>
      <c r="L56" s="17" t="n">
        <f aca="false">IFERROR(INDEX(Assumptions!$B$12:$B$14,MATCH(J56,Assumptions!$A$12:$A$14,0)),0)</f>
        <v>0</v>
      </c>
      <c r="M56" s="16" t="n">
        <v>0</v>
      </c>
      <c r="N56" s="17" t="n">
        <f aca="false">K56*L56*M56</f>
        <v>0</v>
      </c>
      <c r="O56" s="17" t="n">
        <f aca="false">N56*I56</f>
        <v>0</v>
      </c>
      <c r="P56" s="17" t="n">
        <f aca="false">IFERROR(O56/Assumptions!$B$6*Assumptions!$B$8,0)</f>
        <v>0</v>
      </c>
      <c r="Q56" s="16" t="s">
        <v>50</v>
      </c>
      <c r="R56" s="16" t="s">
        <v>50</v>
      </c>
      <c r="S56" s="16" t="s">
        <v>177</v>
      </c>
      <c r="T56" s="16" t="s">
        <v>189</v>
      </c>
    </row>
    <row r="57" customFormat="false" ht="15" hidden="false" customHeight="true" outlineLevel="0" collapsed="false">
      <c r="A57" s="16" t="n">
        <v>56</v>
      </c>
      <c r="B57" s="16" t="s">
        <v>177</v>
      </c>
      <c r="C57" s="16" t="s">
        <v>190</v>
      </c>
      <c r="D57" s="16" t="s">
        <v>191</v>
      </c>
      <c r="E57" s="16" t="s">
        <v>50</v>
      </c>
      <c r="F57" s="16" t="s">
        <v>48</v>
      </c>
      <c r="G57" s="16" t="s">
        <v>49</v>
      </c>
      <c r="H57" s="16" t="s">
        <v>50</v>
      </c>
      <c r="I57" s="16" t="n">
        <v>0</v>
      </c>
      <c r="J57" s="16" t="s">
        <v>50</v>
      </c>
      <c r="K57" s="16" t="n">
        <v>0</v>
      </c>
      <c r="L57" s="17" t="n">
        <f aca="false">IFERROR(INDEX(Assumptions!$B$12:$B$14,MATCH(J57,Assumptions!$A$12:$A$14,0)),0)</f>
        <v>0</v>
      </c>
      <c r="M57" s="16" t="n">
        <v>0</v>
      </c>
      <c r="N57" s="17" t="n">
        <f aca="false">K57*L57*M57</f>
        <v>0</v>
      </c>
      <c r="O57" s="17" t="n">
        <f aca="false">N57*I57</f>
        <v>0</v>
      </c>
      <c r="P57" s="17" t="n">
        <f aca="false">IFERROR(O57/Assumptions!$B$6*Assumptions!$B$8,0)</f>
        <v>0</v>
      </c>
      <c r="Q57" s="16" t="s">
        <v>50</v>
      </c>
      <c r="R57" s="16" t="s">
        <v>50</v>
      </c>
      <c r="S57" s="16" t="s">
        <v>177</v>
      </c>
      <c r="T57" s="16" t="s">
        <v>192</v>
      </c>
    </row>
    <row r="58" customFormat="false" ht="23.25" hidden="false" customHeight="true" outlineLevel="0" collapsed="false">
      <c r="A58" s="16" t="n">
        <v>57</v>
      </c>
      <c r="B58" s="16" t="s">
        <v>177</v>
      </c>
      <c r="C58" s="16" t="s">
        <v>50</v>
      </c>
      <c r="D58" s="16" t="s">
        <v>193</v>
      </c>
      <c r="E58" s="16" t="s">
        <v>50</v>
      </c>
      <c r="F58" s="16" t="s">
        <v>194</v>
      </c>
      <c r="G58" s="16" t="s">
        <v>49</v>
      </c>
      <c r="H58" s="16" t="s">
        <v>50</v>
      </c>
      <c r="I58" s="16" t="n">
        <v>0</v>
      </c>
      <c r="J58" s="16" t="s">
        <v>50</v>
      </c>
      <c r="K58" s="16" t="n">
        <v>0</v>
      </c>
      <c r="L58" s="17" t="n">
        <f aca="false">IFERROR(INDEX(Assumptions!$B$12:$B$14,MATCH(J58,Assumptions!$A$12:$A$14,0)),0)</f>
        <v>0</v>
      </c>
      <c r="M58" s="16" t="n">
        <v>0</v>
      </c>
      <c r="N58" s="17" t="n">
        <f aca="false">K58*L58*M58</f>
        <v>0</v>
      </c>
      <c r="O58" s="17" t="n">
        <f aca="false">N58*I58</f>
        <v>0</v>
      </c>
      <c r="P58" s="17" t="n">
        <f aca="false">IFERROR(O58/Assumptions!$B$6*Assumptions!$B$8,0)</f>
        <v>0</v>
      </c>
      <c r="Q58" s="16" t="s">
        <v>50</v>
      </c>
      <c r="R58" s="16" t="s">
        <v>50</v>
      </c>
      <c r="S58" s="16" t="s">
        <v>177</v>
      </c>
      <c r="T58" s="16" t="s">
        <v>195</v>
      </c>
    </row>
    <row r="59" customFormat="false" ht="34.5" hidden="false" customHeight="true" outlineLevel="0" collapsed="false">
      <c r="A59" s="16" t="n">
        <v>58</v>
      </c>
      <c r="B59" s="16" t="s">
        <v>177</v>
      </c>
      <c r="C59" s="16" t="s">
        <v>50</v>
      </c>
      <c r="D59" s="16" t="s">
        <v>196</v>
      </c>
      <c r="E59" s="16" t="s">
        <v>50</v>
      </c>
      <c r="F59" s="16" t="s">
        <v>197</v>
      </c>
      <c r="G59" s="16" t="s">
        <v>49</v>
      </c>
      <c r="H59" s="16" t="s">
        <v>50</v>
      </c>
      <c r="I59" s="16" t="n">
        <v>0</v>
      </c>
      <c r="J59" s="16" t="s">
        <v>50</v>
      </c>
      <c r="K59" s="16" t="n">
        <v>0</v>
      </c>
      <c r="L59" s="17" t="n">
        <f aca="false">IFERROR(INDEX(Assumptions!$B$12:$B$14,MATCH(J59,Assumptions!$A$12:$A$14,0)),0)</f>
        <v>0</v>
      </c>
      <c r="M59" s="16" t="n">
        <v>0</v>
      </c>
      <c r="N59" s="17" t="n">
        <f aca="false">K59*L59*M59</f>
        <v>0</v>
      </c>
      <c r="O59" s="17" t="n">
        <f aca="false">N59*I59</f>
        <v>0</v>
      </c>
      <c r="P59" s="17" t="n">
        <f aca="false">IFERROR(O59/Assumptions!$B$6*Assumptions!$B$8,0)</f>
        <v>0</v>
      </c>
      <c r="Q59" s="16" t="s">
        <v>50</v>
      </c>
      <c r="R59" s="16" t="s">
        <v>50</v>
      </c>
      <c r="S59" s="16" t="s">
        <v>177</v>
      </c>
      <c r="T59" s="16" t="s">
        <v>198</v>
      </c>
    </row>
    <row r="60" customFormat="false" ht="23.25" hidden="false" customHeight="true" outlineLevel="0" collapsed="false">
      <c r="A60" s="16" t="n">
        <v>59</v>
      </c>
      <c r="B60" s="16" t="s">
        <v>177</v>
      </c>
      <c r="C60" s="16" t="s">
        <v>50</v>
      </c>
      <c r="D60" s="16" t="s">
        <v>199</v>
      </c>
      <c r="E60" s="16" t="s">
        <v>50</v>
      </c>
      <c r="F60" s="16" t="s">
        <v>200</v>
      </c>
      <c r="G60" s="16" t="s">
        <v>201</v>
      </c>
      <c r="H60" s="16" t="s">
        <v>50</v>
      </c>
      <c r="I60" s="16" t="n">
        <v>0</v>
      </c>
      <c r="J60" s="16" t="s">
        <v>50</v>
      </c>
      <c r="K60" s="16" t="n">
        <v>0</v>
      </c>
      <c r="L60" s="17" t="n">
        <f aca="false">IFERROR(INDEX(Assumptions!$B$12:$B$14,MATCH(J60,Assumptions!$A$12:$A$14,0)),0)</f>
        <v>0</v>
      </c>
      <c r="M60" s="16" t="n">
        <v>0</v>
      </c>
      <c r="N60" s="17" t="n">
        <f aca="false">K60*L60*M60</f>
        <v>0</v>
      </c>
      <c r="O60" s="17" t="n">
        <f aca="false">N60*I60</f>
        <v>0</v>
      </c>
      <c r="P60" s="17" t="n">
        <f aca="false">IFERROR(O60/Assumptions!$B$6*Assumptions!$B$8,0)</f>
        <v>0</v>
      </c>
      <c r="Q60" s="16" t="s">
        <v>50</v>
      </c>
      <c r="R60" s="16" t="s">
        <v>50</v>
      </c>
      <c r="S60" s="16" t="s">
        <v>177</v>
      </c>
      <c r="T60" s="16" t="s">
        <v>202</v>
      </c>
    </row>
    <row r="61" customFormat="false" ht="23.25" hidden="false" customHeight="true" outlineLevel="0" collapsed="false">
      <c r="A61" s="16" t="n">
        <v>60</v>
      </c>
      <c r="B61" s="16" t="s">
        <v>177</v>
      </c>
      <c r="C61" s="16" t="s">
        <v>50</v>
      </c>
      <c r="D61" s="16" t="s">
        <v>203</v>
      </c>
      <c r="E61" s="16" t="s">
        <v>50</v>
      </c>
      <c r="F61" s="16" t="s">
        <v>204</v>
      </c>
      <c r="G61" s="16" t="s">
        <v>205</v>
      </c>
      <c r="H61" s="16" t="s">
        <v>50</v>
      </c>
      <c r="I61" s="16" t="n">
        <v>0</v>
      </c>
      <c r="J61" s="16" t="s">
        <v>50</v>
      </c>
      <c r="K61" s="16" t="n">
        <v>0</v>
      </c>
      <c r="L61" s="17" t="n">
        <f aca="false">IFERROR(INDEX(Assumptions!$B$12:$B$14,MATCH(J61,Assumptions!$A$12:$A$14,0)),0)</f>
        <v>0</v>
      </c>
      <c r="M61" s="16" t="n">
        <v>0</v>
      </c>
      <c r="N61" s="17" t="n">
        <f aca="false">K61*L61*M61</f>
        <v>0</v>
      </c>
      <c r="O61" s="17" t="n">
        <f aca="false">N61*I61</f>
        <v>0</v>
      </c>
      <c r="P61" s="17" t="n">
        <f aca="false">IFERROR(O61/Assumptions!$B$6*Assumptions!$B$8,0)</f>
        <v>0</v>
      </c>
      <c r="Q61" s="16" t="s">
        <v>50</v>
      </c>
      <c r="R61" s="16" t="s">
        <v>50</v>
      </c>
      <c r="S61" s="16" t="s">
        <v>177</v>
      </c>
      <c r="T61" s="16" t="s">
        <v>206</v>
      </c>
    </row>
    <row r="62" customFormat="false" ht="23.25" hidden="false" customHeight="true" outlineLevel="0" collapsed="false">
      <c r="A62" s="16" t="n">
        <v>61</v>
      </c>
      <c r="B62" s="16" t="s">
        <v>177</v>
      </c>
      <c r="C62" s="16" t="s">
        <v>50</v>
      </c>
      <c r="D62" s="16" t="s">
        <v>207</v>
      </c>
      <c r="E62" s="16" t="s">
        <v>50</v>
      </c>
      <c r="F62" s="16" t="s">
        <v>149</v>
      </c>
      <c r="G62" s="16" t="s">
        <v>208</v>
      </c>
      <c r="H62" s="16" t="s">
        <v>50</v>
      </c>
      <c r="I62" s="16" t="n">
        <v>0</v>
      </c>
      <c r="J62" s="16" t="s">
        <v>50</v>
      </c>
      <c r="K62" s="16" t="n">
        <v>0</v>
      </c>
      <c r="L62" s="17" t="n">
        <f aca="false">IFERROR(INDEX(Assumptions!$B$12:$B$14,MATCH(J62,Assumptions!$A$12:$A$14,0)),0)</f>
        <v>0</v>
      </c>
      <c r="M62" s="16" t="n">
        <v>0</v>
      </c>
      <c r="N62" s="17" t="n">
        <f aca="false">K62*L62*M62</f>
        <v>0</v>
      </c>
      <c r="O62" s="17" t="n">
        <f aca="false">N62*I62</f>
        <v>0</v>
      </c>
      <c r="P62" s="17" t="n">
        <f aca="false">IFERROR(O62/Assumptions!$B$6*Assumptions!$B$8,0)</f>
        <v>0</v>
      </c>
      <c r="Q62" s="16" t="s">
        <v>50</v>
      </c>
      <c r="R62" s="16" t="s">
        <v>50</v>
      </c>
      <c r="S62" s="16" t="s">
        <v>177</v>
      </c>
      <c r="T62" s="16" t="s">
        <v>209</v>
      </c>
    </row>
    <row r="64" customFormat="false" ht="15" hidden="false" customHeight="true" outlineLevel="0" collapsed="false">
      <c r="C64" s="7" t="s">
        <v>210</v>
      </c>
    </row>
    <row r="65" customFormat="false" ht="15" hidden="false" customHeight="true" outlineLevel="0" collapsed="false">
      <c r="D65" s="4" t="s">
        <v>211</v>
      </c>
      <c r="O65" s="18" t="n">
        <f aca="false">SUMIF($B$2:$B$62,"PHASE 0",$O$2:$O$62)</f>
        <v>7.6</v>
      </c>
      <c r="P65" s="18" t="n">
        <f aca="false">SUMIF($B$2:$B$62,"PHASE 0",$P$2:$P$62)</f>
        <v>1.35714285714286</v>
      </c>
    </row>
    <row r="66" customFormat="false" ht="15" hidden="false" customHeight="true" outlineLevel="0" collapsed="false">
      <c r="D66" s="4" t="s">
        <v>212</v>
      </c>
      <c r="O66" s="18" t="n">
        <f aca="false">SUMIF($B$2:$B$62,"PHASE 1",$O$2:$O$62)</f>
        <v>142.825</v>
      </c>
      <c r="P66" s="18" t="n">
        <f aca="false">SUMIF($B$2:$B$62,"PHASE 1",$P$2:$P$62)</f>
        <v>25.5044642857143</v>
      </c>
    </row>
    <row r="67" customFormat="false" ht="15" hidden="false" customHeight="true" outlineLevel="0" collapsed="false">
      <c r="D67" s="4" t="s">
        <v>213</v>
      </c>
      <c r="O67" s="18" t="n">
        <f aca="false">SUMIF($B$2:$B$62,"PHASE 2",$O$2:$O$62)</f>
        <v>100.386</v>
      </c>
      <c r="P67" s="18" t="n">
        <f aca="false">SUMIF($B$2:$B$62,"PHASE 2",$P$2:$P$62)</f>
        <v>17.9260714285714</v>
      </c>
    </row>
    <row r="68" customFormat="false" ht="15" hidden="false" customHeight="true" outlineLevel="0" collapsed="false">
      <c r="D68" s="4" t="s">
        <v>214</v>
      </c>
      <c r="O68" s="18" t="n">
        <f aca="false">SUMIF($B$2:$B$62,"PHASE 3",$O$2:$O$62)</f>
        <v>90.38</v>
      </c>
      <c r="P68" s="18" t="n">
        <f aca="false">SUMIF($B$2:$B$62,"PHASE 3",$P$2:$P$62)</f>
        <v>16.1392857142857</v>
      </c>
    </row>
    <row r="69" customFormat="false" ht="15" hidden="false" customHeight="true" outlineLevel="0" collapsed="false">
      <c r="D69" s="7" t="s">
        <v>215</v>
      </c>
      <c r="O69" s="19" t="n">
        <f aca="false">SUM(O65:O68)</f>
        <v>341.191</v>
      </c>
      <c r="P69" s="19" t="n">
        <f aca="false">SUM(P65:P68)</f>
        <v>60.9269642857143</v>
      </c>
    </row>
    <row r="70" customFormat="false" ht="15" hidden="false" customHeight="true" outlineLevel="0" collapsed="false">
      <c r="D70" s="7" t="s">
        <v>216</v>
      </c>
      <c r="P70" s="20" t="n">
        <f aca="false">P69*Assumptions!$B$7</f>
        <v>97.66592375</v>
      </c>
    </row>
    <row r="72" customFormat="false" ht="15" hidden="false" customHeight="true" outlineLevel="0" collapsed="false">
      <c r="D72" s="3" t="s">
        <v>217</v>
      </c>
    </row>
    <row r="73" customFormat="false" ht="15" hidden="false" customHeight="true" outlineLevel="0" collapsed="false">
      <c r="D73" s="6" t="s">
        <v>218</v>
      </c>
    </row>
  </sheetData>
  <mergeCells count="5">
    <mergeCell ref="A2:T2"/>
    <mergeCell ref="A11:T11"/>
    <mergeCell ref="A25:T25"/>
    <mergeCell ref="A41:T41"/>
    <mergeCell ref="A52:T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8"/>
    <col collapsed="false" customWidth="true" hidden="false" outlineLevel="0" max="3" min="3" style="1" width="11"/>
    <col collapsed="false" customWidth="true" hidden="false" outlineLevel="0" max="4" min="4" style="1" width="58"/>
    <col collapsed="false" customWidth="true" hidden="false" outlineLevel="0" max="5" min="5" style="1" width="4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58"/>
  </cols>
  <sheetData>
    <row r="1" customFormat="false" ht="15" hidden="false" customHeight="true" outlineLevel="0" collapsed="false">
      <c r="A1" s="11" t="s">
        <v>219</v>
      </c>
      <c r="B1" s="11" t="s">
        <v>220</v>
      </c>
      <c r="C1" s="11" t="s">
        <v>221</v>
      </c>
      <c r="D1" s="11" t="s">
        <v>222</v>
      </c>
      <c r="E1" s="11" t="s">
        <v>223</v>
      </c>
      <c r="F1" s="11" t="s">
        <v>224</v>
      </c>
      <c r="G1" s="11" t="s">
        <v>41</v>
      </c>
      <c r="H1" s="11" t="s">
        <v>225</v>
      </c>
    </row>
    <row r="2" customFormat="false" ht="23.25" hidden="false" customHeight="true" outlineLevel="0" collapsed="false">
      <c r="A2" s="13" t="s">
        <v>226</v>
      </c>
      <c r="B2" s="13" t="s">
        <v>227</v>
      </c>
      <c r="C2" s="21" t="s">
        <v>228</v>
      </c>
      <c r="D2" s="13" t="s">
        <v>229</v>
      </c>
      <c r="E2" s="13" t="s">
        <v>230</v>
      </c>
      <c r="F2" s="13" t="s">
        <v>231</v>
      </c>
      <c r="G2" s="13" t="s">
        <v>232</v>
      </c>
      <c r="H2" s="13" t="s">
        <v>233</v>
      </c>
    </row>
    <row r="3" customFormat="false" ht="57" hidden="false" customHeight="true" outlineLevel="0" collapsed="false">
      <c r="A3" s="22" t="s">
        <v>234</v>
      </c>
      <c r="B3" s="22" t="s">
        <v>235</v>
      </c>
      <c r="C3" s="23" t="s">
        <v>228</v>
      </c>
      <c r="D3" s="22" t="s">
        <v>236</v>
      </c>
      <c r="E3" s="22" t="s">
        <v>237</v>
      </c>
      <c r="F3" s="22" t="s">
        <v>231</v>
      </c>
      <c r="G3" s="22" t="s">
        <v>232</v>
      </c>
      <c r="H3" s="22" t="s">
        <v>238</v>
      </c>
    </row>
    <row r="4" customFormat="false" ht="34.5" hidden="false" customHeight="true" outlineLevel="0" collapsed="false">
      <c r="A4" s="13" t="s">
        <v>239</v>
      </c>
      <c r="B4" s="13" t="s">
        <v>240</v>
      </c>
      <c r="C4" s="21" t="s">
        <v>228</v>
      </c>
      <c r="D4" s="13" t="s">
        <v>241</v>
      </c>
      <c r="E4" s="13" t="s">
        <v>242</v>
      </c>
      <c r="F4" s="13" t="s">
        <v>243</v>
      </c>
      <c r="G4" s="13" t="s">
        <v>232</v>
      </c>
      <c r="H4" s="13" t="s">
        <v>244</v>
      </c>
    </row>
    <row r="5" customFormat="false" ht="34.5" hidden="false" customHeight="true" outlineLevel="0" collapsed="false">
      <c r="A5" s="13" t="s">
        <v>245</v>
      </c>
      <c r="B5" s="13" t="s">
        <v>246</v>
      </c>
      <c r="C5" s="21" t="s">
        <v>228</v>
      </c>
      <c r="D5" s="13" t="s">
        <v>247</v>
      </c>
      <c r="E5" s="13" t="s">
        <v>248</v>
      </c>
      <c r="F5" s="13" t="s">
        <v>243</v>
      </c>
      <c r="G5" s="13" t="s">
        <v>232</v>
      </c>
      <c r="H5" s="13" t="s">
        <v>249</v>
      </c>
    </row>
    <row r="6" customFormat="false" ht="34.5" hidden="false" customHeight="true" outlineLevel="0" collapsed="false">
      <c r="A6" s="13" t="s">
        <v>250</v>
      </c>
      <c r="B6" s="13" t="s">
        <v>251</v>
      </c>
      <c r="C6" s="24" t="s">
        <v>252</v>
      </c>
      <c r="D6" s="13" t="s">
        <v>253</v>
      </c>
      <c r="E6" s="13" t="s">
        <v>254</v>
      </c>
      <c r="F6" s="13" t="s">
        <v>243</v>
      </c>
      <c r="G6" s="13" t="s">
        <v>232</v>
      </c>
      <c r="H6" s="13" t="s">
        <v>255</v>
      </c>
    </row>
    <row r="7" customFormat="false" ht="45.75" hidden="false" customHeight="true" outlineLevel="0" collapsed="false">
      <c r="A7" s="13" t="s">
        <v>256</v>
      </c>
      <c r="B7" s="13" t="s">
        <v>257</v>
      </c>
      <c r="C7" s="24" t="s">
        <v>252</v>
      </c>
      <c r="D7" s="13" t="s">
        <v>258</v>
      </c>
      <c r="E7" s="13" t="s">
        <v>259</v>
      </c>
      <c r="F7" s="13" t="s">
        <v>243</v>
      </c>
      <c r="G7" s="13" t="s">
        <v>232</v>
      </c>
      <c r="H7" s="13" t="s">
        <v>260</v>
      </c>
    </row>
    <row r="8" customFormat="false" ht="23.25" hidden="false" customHeight="true" outlineLevel="0" collapsed="false">
      <c r="A8" s="13" t="s">
        <v>261</v>
      </c>
      <c r="B8" s="13" t="s">
        <v>262</v>
      </c>
      <c r="C8" s="24" t="s">
        <v>252</v>
      </c>
      <c r="D8" s="13" t="s">
        <v>263</v>
      </c>
      <c r="E8" s="13" t="s">
        <v>264</v>
      </c>
      <c r="F8" s="13" t="s">
        <v>243</v>
      </c>
      <c r="G8" s="13" t="s">
        <v>265</v>
      </c>
      <c r="H8" s="13" t="s">
        <v>266</v>
      </c>
    </row>
    <row r="9" customFormat="false" ht="34.5" hidden="false" customHeight="true" outlineLevel="0" collapsed="false">
      <c r="A9" s="13" t="s">
        <v>267</v>
      </c>
      <c r="B9" s="13" t="s">
        <v>268</v>
      </c>
      <c r="C9" s="24" t="s">
        <v>252</v>
      </c>
      <c r="D9" s="13" t="s">
        <v>269</v>
      </c>
      <c r="E9" s="13" t="s">
        <v>270</v>
      </c>
      <c r="F9" s="13" t="s">
        <v>231</v>
      </c>
      <c r="G9" s="13" t="s">
        <v>232</v>
      </c>
      <c r="H9" s="13" t="s">
        <v>271</v>
      </c>
    </row>
    <row r="10" customFormat="false" ht="34.5" hidden="false" customHeight="true" outlineLevel="0" collapsed="false">
      <c r="A10" s="13" t="s">
        <v>272</v>
      </c>
      <c r="B10" s="13" t="s">
        <v>273</v>
      </c>
      <c r="C10" s="24" t="s">
        <v>252</v>
      </c>
      <c r="D10" s="13" t="s">
        <v>274</v>
      </c>
      <c r="E10" s="13" t="s">
        <v>275</v>
      </c>
      <c r="F10" s="13" t="s">
        <v>276</v>
      </c>
      <c r="G10" s="13" t="s">
        <v>232</v>
      </c>
      <c r="H10" s="13" t="s">
        <v>277</v>
      </c>
    </row>
    <row r="11" customFormat="false" ht="23.25" hidden="false" customHeight="true" outlineLevel="0" collapsed="false">
      <c r="A11" s="13" t="s">
        <v>278</v>
      </c>
      <c r="B11" s="13" t="s">
        <v>279</v>
      </c>
      <c r="C11" s="25" t="s">
        <v>280</v>
      </c>
      <c r="D11" s="13" t="s">
        <v>281</v>
      </c>
      <c r="E11" s="13" t="s">
        <v>282</v>
      </c>
      <c r="F11" s="13" t="s">
        <v>276</v>
      </c>
      <c r="G11" s="13" t="s">
        <v>232</v>
      </c>
      <c r="H11" s="13" t="s">
        <v>283</v>
      </c>
    </row>
    <row r="12" customFormat="false" ht="34.5" hidden="false" customHeight="true" outlineLevel="0" collapsed="false">
      <c r="A12" s="13" t="s">
        <v>284</v>
      </c>
      <c r="B12" s="13" t="s">
        <v>285</v>
      </c>
      <c r="C12" s="25" t="s">
        <v>280</v>
      </c>
      <c r="D12" s="13" t="s">
        <v>286</v>
      </c>
      <c r="E12" s="13" t="s">
        <v>287</v>
      </c>
      <c r="F12" s="13" t="s">
        <v>288</v>
      </c>
      <c r="G12" s="13" t="s">
        <v>232</v>
      </c>
      <c r="H12" s="13" t="s">
        <v>289</v>
      </c>
    </row>
    <row r="13" customFormat="false" ht="34.5" hidden="false" customHeight="true" outlineLevel="0" collapsed="false">
      <c r="A13" s="13" t="s">
        <v>290</v>
      </c>
      <c r="B13" s="13" t="s">
        <v>291</v>
      </c>
      <c r="C13" s="25" t="s">
        <v>280</v>
      </c>
      <c r="D13" s="13" t="s">
        <v>292</v>
      </c>
      <c r="E13" s="13" t="s">
        <v>293</v>
      </c>
      <c r="F13" s="13" t="s">
        <v>294</v>
      </c>
      <c r="G13" s="13" t="s">
        <v>232</v>
      </c>
      <c r="H13" s="13" t="s">
        <v>295</v>
      </c>
    </row>
    <row r="14" customFormat="false" ht="23.25" hidden="false" customHeight="true" outlineLevel="0" collapsed="false">
      <c r="A14" s="13" t="s">
        <v>296</v>
      </c>
      <c r="B14" s="13" t="s">
        <v>297</v>
      </c>
      <c r="C14" s="25" t="s">
        <v>280</v>
      </c>
      <c r="D14" s="13" t="s">
        <v>298</v>
      </c>
      <c r="E14" s="13" t="s">
        <v>299</v>
      </c>
      <c r="F14" s="13" t="s">
        <v>300</v>
      </c>
      <c r="G14" s="13" t="s">
        <v>232</v>
      </c>
      <c r="H14" s="13" t="s">
        <v>301</v>
      </c>
    </row>
    <row r="15" customFormat="false" ht="34.5" hidden="false" customHeight="true" outlineLevel="0" collapsed="false">
      <c r="A15" s="13" t="s">
        <v>302</v>
      </c>
      <c r="B15" s="13" t="s">
        <v>303</v>
      </c>
      <c r="C15" s="25" t="s">
        <v>280</v>
      </c>
      <c r="D15" s="13" t="s">
        <v>304</v>
      </c>
      <c r="E15" s="13" t="s">
        <v>305</v>
      </c>
      <c r="F15" s="13" t="s">
        <v>306</v>
      </c>
      <c r="G15" s="13" t="s">
        <v>177</v>
      </c>
      <c r="H15" s="13" t="s">
        <v>307</v>
      </c>
    </row>
    <row r="16" customFormat="false" ht="45.75" hidden="false" customHeight="true" outlineLevel="0" collapsed="false">
      <c r="A16" s="13" t="s">
        <v>308</v>
      </c>
      <c r="B16" s="13" t="s">
        <v>309</v>
      </c>
      <c r="C16" s="25" t="s">
        <v>280</v>
      </c>
      <c r="D16" s="13" t="s">
        <v>310</v>
      </c>
      <c r="E16" s="13" t="s">
        <v>311</v>
      </c>
      <c r="F16" s="13" t="s">
        <v>306</v>
      </c>
      <c r="G16" s="13" t="s">
        <v>177</v>
      </c>
      <c r="H16" s="13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74"/>
    <col collapsed="false" customWidth="true" hidden="false" outlineLevel="0" max="5" min="5" style="1" width="66"/>
  </cols>
  <sheetData>
    <row r="1" customFormat="false" ht="15" hidden="false" customHeight="true" outlineLevel="0" collapsed="false">
      <c r="A1" s="11" t="s">
        <v>313</v>
      </c>
      <c r="B1" s="11" t="s">
        <v>314</v>
      </c>
      <c r="C1" s="11" t="s">
        <v>41</v>
      </c>
      <c r="D1" s="11" t="s">
        <v>315</v>
      </c>
      <c r="E1" s="11" t="s">
        <v>316</v>
      </c>
    </row>
    <row r="2" customFormat="false" ht="23.25" hidden="false" customHeight="true" outlineLevel="0" collapsed="false">
      <c r="A2" s="13" t="s">
        <v>317</v>
      </c>
      <c r="B2" s="13" t="s">
        <v>318</v>
      </c>
      <c r="C2" s="13" t="s">
        <v>319</v>
      </c>
      <c r="D2" s="13" t="s">
        <v>320</v>
      </c>
      <c r="E2" s="13" t="s">
        <v>50</v>
      </c>
    </row>
    <row r="3" customFormat="false" ht="15" hidden="false" customHeight="true" outlineLevel="0" collapsed="false">
      <c r="A3" s="13" t="s">
        <v>321</v>
      </c>
      <c r="B3" s="13" t="s">
        <v>322</v>
      </c>
      <c r="C3" s="13" t="s">
        <v>323</v>
      </c>
      <c r="D3" s="13" t="s">
        <v>324</v>
      </c>
      <c r="E3" s="13" t="s">
        <v>325</v>
      </c>
    </row>
    <row r="4" customFormat="false" ht="15" hidden="false" customHeight="true" outlineLevel="0" collapsed="false">
      <c r="A4" s="13" t="s">
        <v>326</v>
      </c>
      <c r="B4" s="13" t="s">
        <v>327</v>
      </c>
      <c r="C4" s="13" t="s">
        <v>323</v>
      </c>
      <c r="D4" s="13" t="s">
        <v>328</v>
      </c>
      <c r="E4" s="13" t="s">
        <v>329</v>
      </c>
    </row>
    <row r="5" customFormat="false" ht="23.25" hidden="false" customHeight="true" outlineLevel="0" collapsed="false">
      <c r="A5" s="13" t="s">
        <v>330</v>
      </c>
      <c r="B5" s="13" t="s">
        <v>331</v>
      </c>
      <c r="C5" s="13" t="s">
        <v>332</v>
      </c>
      <c r="D5" s="13" t="s">
        <v>333</v>
      </c>
      <c r="E5" s="13" t="s">
        <v>334</v>
      </c>
    </row>
    <row r="6" customFormat="false" ht="23.25" hidden="false" customHeight="true" outlineLevel="0" collapsed="false">
      <c r="A6" s="13" t="s">
        <v>335</v>
      </c>
      <c r="B6" s="13" t="s">
        <v>336</v>
      </c>
      <c r="C6" s="13" t="s">
        <v>337</v>
      </c>
      <c r="D6" s="13" t="s">
        <v>338</v>
      </c>
      <c r="E6" s="13" t="s">
        <v>339</v>
      </c>
    </row>
    <row r="7" customFormat="false" ht="23.25" hidden="false" customHeight="true" outlineLevel="0" collapsed="false">
      <c r="A7" s="13" t="s">
        <v>340</v>
      </c>
      <c r="B7" s="13" t="s">
        <v>341</v>
      </c>
      <c r="C7" s="13" t="s">
        <v>177</v>
      </c>
      <c r="D7" s="13" t="s">
        <v>342</v>
      </c>
      <c r="E7" s="13" t="s">
        <v>343</v>
      </c>
    </row>
    <row r="8" customFormat="false" ht="23.25" hidden="false" customHeight="true" outlineLevel="0" collapsed="false">
      <c r="A8" s="13" t="s">
        <v>344</v>
      </c>
      <c r="B8" s="13" t="s">
        <v>341</v>
      </c>
      <c r="C8" s="13" t="s">
        <v>177</v>
      </c>
      <c r="D8" s="13" t="s">
        <v>345</v>
      </c>
      <c r="E8" s="13" t="s">
        <v>346</v>
      </c>
    </row>
    <row r="9" customFormat="false" ht="23.25" hidden="false" customHeight="true" outlineLevel="0" collapsed="false">
      <c r="A9" s="13" t="s">
        <v>347</v>
      </c>
      <c r="B9" s="13" t="s">
        <v>341</v>
      </c>
      <c r="C9" s="13" t="s">
        <v>177</v>
      </c>
      <c r="D9" s="13" t="s">
        <v>348</v>
      </c>
      <c r="E9" s="13" t="s">
        <v>349</v>
      </c>
    </row>
    <row r="10" customFormat="false" ht="23.25" hidden="false" customHeight="true" outlineLevel="0" collapsed="false">
      <c r="A10" s="13" t="s">
        <v>350</v>
      </c>
      <c r="B10" s="13" t="s">
        <v>341</v>
      </c>
      <c r="C10" s="13" t="s">
        <v>177</v>
      </c>
      <c r="D10" s="13" t="s">
        <v>351</v>
      </c>
      <c r="E10" s="13" t="s">
        <v>352</v>
      </c>
    </row>
    <row r="11" customFormat="false" ht="23.25" hidden="false" customHeight="true" outlineLevel="0" collapsed="false">
      <c r="A11" s="13" t="s">
        <v>207</v>
      </c>
      <c r="B11" s="13" t="s">
        <v>341</v>
      </c>
      <c r="C11" s="13" t="s">
        <v>177</v>
      </c>
      <c r="D11" s="13" t="s">
        <v>353</v>
      </c>
      <c r="E11" s="13" t="s">
        <v>354</v>
      </c>
    </row>
    <row r="12" customFormat="false" ht="23.25" hidden="false" customHeight="true" outlineLevel="0" collapsed="false">
      <c r="A12" s="13" t="s">
        <v>355</v>
      </c>
      <c r="B12" s="13" t="s">
        <v>341</v>
      </c>
      <c r="C12" s="13" t="s">
        <v>177</v>
      </c>
      <c r="D12" s="13" t="s">
        <v>356</v>
      </c>
      <c r="E12" s="13" t="s">
        <v>357</v>
      </c>
    </row>
    <row r="13" customFormat="false" ht="15" hidden="false" customHeight="true" outlineLevel="0" collapsed="false">
      <c r="A13" s="13" t="s">
        <v>358</v>
      </c>
      <c r="B13" s="13" t="s">
        <v>341</v>
      </c>
      <c r="C13" s="13" t="s">
        <v>177</v>
      </c>
      <c r="D13" s="13" t="s">
        <v>359</v>
      </c>
      <c r="E13" s="13" t="s">
        <v>360</v>
      </c>
    </row>
    <row r="14" customFormat="false" ht="23.25" hidden="false" customHeight="true" outlineLevel="0" collapsed="false">
      <c r="A14" s="13" t="s">
        <v>361</v>
      </c>
      <c r="B14" s="13" t="s">
        <v>362</v>
      </c>
      <c r="C14" s="13" t="s">
        <v>319</v>
      </c>
      <c r="D14" s="13" t="s">
        <v>363</v>
      </c>
      <c r="E14" s="13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3" min="3" style="1" width="52"/>
    <col collapsed="false" customWidth="true" hidden="false" outlineLevel="0" max="4" min="4" style="1" width="26"/>
    <col collapsed="false" customWidth="true" hidden="false" outlineLevel="0" max="5" min="5" style="1" width="74"/>
  </cols>
  <sheetData>
    <row r="1" customFormat="false" ht="15" hidden="false" customHeight="true" outlineLevel="0" collapsed="false">
      <c r="A1" s="11" t="s">
        <v>365</v>
      </c>
      <c r="B1" s="11" t="s">
        <v>366</v>
      </c>
      <c r="C1" s="11" t="s">
        <v>367</v>
      </c>
      <c r="D1" s="11" t="s">
        <v>41</v>
      </c>
      <c r="E1" s="11" t="s">
        <v>225</v>
      </c>
    </row>
    <row r="2" customFormat="false" ht="15" hidden="false" customHeight="true" outlineLevel="0" collapsed="false">
      <c r="A2" s="13" t="s">
        <v>368</v>
      </c>
      <c r="B2" s="13" t="s">
        <v>369</v>
      </c>
      <c r="C2" s="13" t="s">
        <v>370</v>
      </c>
      <c r="D2" s="13" t="s">
        <v>371</v>
      </c>
      <c r="E2" s="13" t="s">
        <v>372</v>
      </c>
    </row>
    <row r="3" customFormat="false" ht="23.25" hidden="false" customHeight="true" outlineLevel="0" collapsed="false">
      <c r="A3" s="13" t="s">
        <v>373</v>
      </c>
      <c r="B3" s="13" t="s">
        <v>374</v>
      </c>
      <c r="C3" s="13" t="s">
        <v>375</v>
      </c>
      <c r="D3" s="13" t="s">
        <v>376</v>
      </c>
      <c r="E3" s="13" t="s">
        <v>377</v>
      </c>
    </row>
    <row r="4" customFormat="false" ht="23.25" hidden="false" customHeight="true" outlineLevel="0" collapsed="false">
      <c r="A4" s="13" t="s">
        <v>373</v>
      </c>
      <c r="B4" s="13" t="s">
        <v>378</v>
      </c>
      <c r="C4" s="13" t="s">
        <v>379</v>
      </c>
      <c r="D4" s="13" t="s">
        <v>371</v>
      </c>
      <c r="E4" s="13" t="s">
        <v>380</v>
      </c>
    </row>
    <row r="5" customFormat="false" ht="23.25" hidden="false" customHeight="true" outlineLevel="0" collapsed="false">
      <c r="A5" s="13" t="s">
        <v>373</v>
      </c>
      <c r="B5" s="13" t="s">
        <v>381</v>
      </c>
      <c r="C5" s="13" t="s">
        <v>382</v>
      </c>
      <c r="D5" s="13" t="s">
        <v>383</v>
      </c>
      <c r="E5" s="13" t="s">
        <v>384</v>
      </c>
    </row>
    <row r="6" customFormat="false" ht="23.25" hidden="false" customHeight="true" outlineLevel="0" collapsed="false">
      <c r="A6" s="13" t="s">
        <v>385</v>
      </c>
      <c r="B6" s="13" t="s">
        <v>386</v>
      </c>
      <c r="C6" s="13" t="s">
        <v>387</v>
      </c>
      <c r="D6" s="13" t="s">
        <v>388</v>
      </c>
      <c r="E6" s="13" t="s">
        <v>389</v>
      </c>
    </row>
    <row r="7" customFormat="false" ht="15" hidden="false" customHeight="true" outlineLevel="0" collapsed="false">
      <c r="A7" s="13" t="s">
        <v>390</v>
      </c>
      <c r="B7" s="13" t="s">
        <v>391</v>
      </c>
      <c r="C7" s="13" t="s">
        <v>392</v>
      </c>
      <c r="D7" s="13" t="s">
        <v>371</v>
      </c>
      <c r="E7" s="13" t="s">
        <v>393</v>
      </c>
    </row>
    <row r="8" customFormat="false" ht="23.25" hidden="false" customHeight="true" outlineLevel="0" collapsed="false">
      <c r="A8" s="13" t="s">
        <v>390</v>
      </c>
      <c r="B8" s="13" t="s">
        <v>394</v>
      </c>
      <c r="C8" s="13" t="s">
        <v>395</v>
      </c>
      <c r="D8" s="13" t="s">
        <v>396</v>
      </c>
      <c r="E8" s="13" t="s">
        <v>397</v>
      </c>
    </row>
    <row r="9" customFormat="false" ht="15" hidden="false" customHeight="true" outlineLevel="0" collapsed="false">
      <c r="A9" s="13" t="s">
        <v>390</v>
      </c>
      <c r="B9" s="13" t="s">
        <v>398</v>
      </c>
      <c r="C9" s="13" t="s">
        <v>399</v>
      </c>
      <c r="D9" s="13" t="s">
        <v>371</v>
      </c>
      <c r="E9" s="13" t="s">
        <v>400</v>
      </c>
    </row>
    <row r="10" customFormat="false" ht="23.25" hidden="false" customHeight="true" outlineLevel="0" collapsed="false">
      <c r="A10" s="13" t="s">
        <v>401</v>
      </c>
      <c r="B10" s="13" t="s">
        <v>402</v>
      </c>
      <c r="C10" s="13" t="s">
        <v>167</v>
      </c>
      <c r="D10" s="13" t="s">
        <v>403</v>
      </c>
      <c r="E10" s="13" t="s">
        <v>404</v>
      </c>
    </row>
    <row r="11" customFormat="false" ht="23.25" hidden="false" customHeight="true" outlineLevel="0" collapsed="false">
      <c r="A11" s="13" t="s">
        <v>405</v>
      </c>
      <c r="B11" s="13" t="s">
        <v>406</v>
      </c>
      <c r="C11" s="13" t="s">
        <v>407</v>
      </c>
      <c r="D11" s="13" t="s">
        <v>408</v>
      </c>
      <c r="E11" s="13" t="s">
        <v>409</v>
      </c>
    </row>
    <row r="12" customFormat="false" ht="15" hidden="false" customHeight="true" outlineLevel="0" collapsed="false">
      <c r="A12" s="13" t="s">
        <v>405</v>
      </c>
      <c r="B12" s="13" t="s">
        <v>410</v>
      </c>
      <c r="C12" s="13" t="s">
        <v>411</v>
      </c>
      <c r="D12" s="13" t="s">
        <v>371</v>
      </c>
      <c r="E12" s="13" t="s">
        <v>412</v>
      </c>
    </row>
    <row r="13" customFormat="false" ht="23.25" hidden="false" customHeight="true" outlineLevel="0" collapsed="false">
      <c r="A13" s="13" t="s">
        <v>405</v>
      </c>
      <c r="B13" s="13" t="s">
        <v>413</v>
      </c>
      <c r="C13" s="13" t="s">
        <v>414</v>
      </c>
      <c r="D13" s="13" t="s">
        <v>415</v>
      </c>
      <c r="E13" s="13" t="s">
        <v>416</v>
      </c>
    </row>
    <row r="14" customFormat="false" ht="15" hidden="false" customHeight="true" outlineLevel="0" collapsed="false">
      <c r="A14" s="13" t="s">
        <v>405</v>
      </c>
      <c r="B14" s="13" t="s">
        <v>417</v>
      </c>
      <c r="C14" s="13" t="s">
        <v>418</v>
      </c>
      <c r="D14" s="13" t="s">
        <v>51</v>
      </c>
      <c r="E14" s="13" t="s">
        <v>419</v>
      </c>
    </row>
    <row r="15" customFormat="false" ht="23.25" hidden="false" customHeight="true" outlineLevel="0" collapsed="false">
      <c r="A15" s="13" t="s">
        <v>420</v>
      </c>
      <c r="B15" s="13" t="s">
        <v>421</v>
      </c>
      <c r="C15" s="13" t="s">
        <v>422</v>
      </c>
      <c r="D15" s="13" t="s">
        <v>371</v>
      </c>
      <c r="E15" s="13" t="s">
        <v>423</v>
      </c>
    </row>
    <row r="16" customFormat="false" ht="23.25" hidden="false" customHeight="true" outlineLevel="0" collapsed="false">
      <c r="A16" s="13" t="s">
        <v>420</v>
      </c>
      <c r="B16" s="13" t="s">
        <v>424</v>
      </c>
      <c r="C16" s="13" t="s">
        <v>425</v>
      </c>
      <c r="D16" s="13" t="s">
        <v>426</v>
      </c>
      <c r="E16" s="13" t="s">
        <v>427</v>
      </c>
    </row>
    <row r="17" customFormat="false" ht="23.25" hidden="false" customHeight="true" outlineLevel="0" collapsed="false">
      <c r="A17" s="13" t="s">
        <v>420</v>
      </c>
      <c r="B17" s="13" t="s">
        <v>428</v>
      </c>
      <c r="C17" s="13" t="s">
        <v>429</v>
      </c>
      <c r="D17" s="13" t="s">
        <v>430</v>
      </c>
      <c r="E17" s="13" t="s">
        <v>431</v>
      </c>
    </row>
    <row r="18" customFormat="false" ht="23.25" hidden="false" customHeight="true" outlineLevel="0" collapsed="false">
      <c r="A18" s="13" t="s">
        <v>420</v>
      </c>
      <c r="B18" s="13" t="s">
        <v>432</v>
      </c>
      <c r="C18" s="13" t="s">
        <v>433</v>
      </c>
      <c r="D18" s="13" t="s">
        <v>434</v>
      </c>
      <c r="E18" s="13" t="s">
        <v>435</v>
      </c>
    </row>
    <row r="19" customFormat="false" ht="23.25" hidden="false" customHeight="true" outlineLevel="0" collapsed="false">
      <c r="A19" s="13" t="s">
        <v>420</v>
      </c>
      <c r="B19" s="13" t="s">
        <v>436</v>
      </c>
      <c r="C19" s="13" t="s">
        <v>437</v>
      </c>
      <c r="D19" s="13" t="s">
        <v>396</v>
      </c>
      <c r="E19" s="13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2026-08-20T17:55:43Z</dcterms:created>
  <dc:creator>openpyxl</dc:creator>
  <dc:description/>
  <dc:language>en-US</dc:language>
  <cp:lastModifiedBy/>
  <dcterms:modified xsi:type="dcterms:W3CDTF">2026-08-20T18:08:20Z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